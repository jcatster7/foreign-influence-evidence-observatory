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c3f9bb3d8b41c4" /></Relationships>
</file>

<file path=xl/workbook.xml><?xml version="1.0" encoding="utf-8"?>
<x:workbook xmlns:x="http://schemas.openxmlformats.org/spreadsheetml/2006/main">
  <x:sheets>
    <x:sheet xmlns:r="http://schemas.openxmlformats.org/officeDocument/2006/relationships" name="Summary" sheetId="1" r:id="R777c816a8ca64d99"/>
    <x:sheet xmlns:r="http://schemas.openxmlformats.org/officeDocument/2006/relationships" name="Adjudication" sheetId="2" r:id="R07a1b4389e40484c"/>
    <x:sheet xmlns:r="http://schemas.openxmlformats.org/officeDocument/2006/relationships" name="Instructions" sheetId="3" r:id="R259479d53c2e45f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hh:mm:ss"/>
  </x:numFmts>
  <x:fonts count="6">
    <x:font>
      <x:sz val="11"/>
      <x:name val="Carlito"/>
    </x:font>
    <x:font>
      <x:sz val="10"/>
      <x:color rgb="FF222222"/>
      <x:name val="Arial"/>
    </x:font>
    <x:font>
      <x:b/>
      <x:sz val="15"/>
      <x:color rgb="FF17365D"/>
      <x:name val="Arial"/>
    </x:font>
    <x:font>
      <x:b/>
      <x:sz val="10"/>
      <x:color rgb="FF17365D"/>
      <x:name val="Arial"/>
    </x:font>
    <x:font>
      <x:i/>
      <x:sz val="10"/>
      <x:color rgb="FF444444"/>
      <x:name val="Arial"/>
    </x:font>
    <x:font>
      <x:b/>
      <x:sz val="10"/>
      <x:color rgb="FFFFFFFF"/>
      <x:name val="Arial"/>
    </x:font>
  </x:fonts>
  <x:fills count="6">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F2F2F2"/>
      </x:patternFill>
    </x:fill>
    <x:fill>
      <x:patternFill patternType="solid">
        <x:fgColor rgb="FF17365D"/>
      </x:patternFill>
    </x:fill>
  </x:fills>
  <x:borders count="17">
    <x:border/>
    <x:border>
      <x:bottom style="thin">
        <x:color rgb="FF17365D"/>
      </x:bottom>
    </x:border>
    <x:border>
      <x:left style="thin">
        <x:color rgb="FFA6A6A6"/>
      </x:left>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right style="thin">
        <x:color rgb="FFA6A6A6"/>
      </x:right>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right style="thin">
        <x:color rgb="FFFFFFFF"/>
      </x:right>
    </x:border>
    <x:border>
      <x:left style="thin">
        <x:color rgb="FFFFFFFF"/>
      </x:left>
      <x:right style="thin">
        <x:color rgb="FFFFFFFF"/>
      </x:right>
    </x:border>
    <x:border>
      <x:left style="thin">
        <x:color rgb="FFFFFFFF"/>
      </x:left>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83">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1" xfId="0" applyNumberFormat="1" applyFont="1" applyFill="1" applyBorder="1"/>
    <x:xf numFmtId="0" fontId="3" fillId="0" borderId="0" xfId="0" applyNumberFormat="1" applyFont="1" applyFill="1" applyBorder="1"/>
    <x:xf numFmtId="0" fontId="3" fillId="0" borderId="2" xfId="0" applyNumberFormat="1" applyFont="1" applyFill="1" applyBorder="1"/>
    <x:xf numFmtId="0" fontId="1" fillId="0" borderId="3" xfId="0" applyNumberFormat="1" applyFont="1" applyFill="1" applyBorder="1"/>
    <x:xf numFmtId="0" fontId="3" fillId="0" borderId="4" xfId="0" applyNumberFormat="1" applyFont="1" applyFill="1" applyBorder="1"/>
    <x:xf numFmtId="0" fontId="1" fillId="0" borderId="5" xfId="0" applyNumberFormat="1" applyFont="1" applyFill="1" applyBorder="1"/>
    <x:xf numFmtId="0" fontId="3" fillId="0" borderId="6" xfId="0" applyNumberFormat="1" applyFont="1" applyFill="1" applyBorder="1"/>
    <x:xf numFmtId="0" fontId="1" fillId="0" borderId="7"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1" fillId="3" borderId="0" xfId="0" applyNumberFormat="1" applyFont="1" applyFill="1" applyBorder="1"/>
    <x:xf numFmtId="0" fontId="1" fillId="3" borderId="8" xfId="0" applyNumberFormat="1" applyFont="1" applyFill="1" applyBorder="1"/>
    <x:xf numFmtId="0" fontId="1" fillId="3" borderId="9" xfId="0" applyNumberFormat="1" applyFont="1" applyFill="1" applyBorder="1"/>
    <x:xf numFmtId="0" fontId="1" fillId="3" borderId="10" xfId="0" applyNumberFormat="1" applyFont="1" applyFill="1" applyBorder="1"/>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3" fillId="0" borderId="4" xfId="0" applyNumberFormat="1" applyFont="1" applyFill="1" applyBorder="1" applyAlignment="1">
      <x:alignment vertical="center"/>
    </x:xf>
    <x:xf numFmtId="0" fontId="1" fillId="0" borderId="5" xfId="0" applyNumberFormat="1" applyFont="1" applyFill="1" applyBorder="1" applyAlignment="1">
      <x:alignment vertical="center"/>
    </x:xf>
    <x:xf numFmtId="0" fontId="3" fillId="0" borderId="6" xfId="0" applyNumberFormat="1" applyFont="1" applyFill="1" applyBorder="1" applyAlignment="1">
      <x:alignment vertical="center"/>
    </x:xf>
    <x:xf numFmtId="0" fontId="1" fillId="0" borderId="7"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8" xfId="0" applyNumberFormat="1" applyFont="1" applyFill="1" applyBorder="1" applyAlignment="1">
      <x:alignment vertical="center"/>
    </x:xf>
    <x:xf numFmtId="0" fontId="1" fillId="3" borderId="9" xfId="0" applyNumberFormat="1" applyFont="1" applyFill="1" applyBorder="1" applyAlignment="1">
      <x:alignment vertical="center"/>
    </x:xf>
    <x:xf numFmtId="0" fontId="1" fillId="3" borderId="10" xfId="0" applyNumberFormat="1" applyFont="1" applyFill="1" applyBorder="1" applyAlignment="1">
      <x:alignment vertical="center"/>
    </x:xf>
    <x:xf numFmtId="0" fontId="0" fillId="0" borderId="0" xfId="0" applyNumberFormat="1" applyFont="1" applyFill="1" applyBorder="1" applyAlignment="1">
      <x:alignment vertical="center"/>
    </x:xf>
    <x:xf numFmtId="200" fontId="1" fillId="0" borderId="3" xfId="0" applyNumberFormat="1" applyFont="1" applyFill="1" applyBorder="1" applyAlignment="1">
      <x:alignment vertical="center"/>
    </x:xf>
    <x:xf numFmtId="200" fontId="1" fillId="0" borderId="5" xfId="0" applyNumberFormat="1" applyFont="1" applyFill="1" applyBorder="1" applyAlignment="1">
      <x:alignment vertical="center"/>
    </x:xf>
    <x:xf numFmtId="201" fontId="1" fillId="3" borderId="10" xfId="0" applyNumberFormat="1" applyFont="1" applyFill="1" applyBorder="1" applyAlignment="1">
      <x:alignment vertical="center"/>
    </x:xf>
    <x:xf numFmtId="0" fontId="1" fillId="5" borderId="0" xfId="0" applyNumberFormat="1" applyFont="1" applyFill="1" applyBorder="1"/>
    <x:xf numFmtId="0" fontId="5" fillId="5" borderId="0" xfId="0" applyNumberFormat="1" applyFont="1" applyFill="1" applyBorder="1"/>
    <x:xf numFmtId="0" fontId="5" fillId="5" borderId="11" xfId="0" applyNumberFormat="1" applyFont="1" applyFill="1" applyBorder="1"/>
    <x:xf numFmtId="0" fontId="5" fillId="5" borderId="12" xfId="0" applyNumberFormat="1" applyFont="1" applyFill="1" applyBorder="1"/>
    <x:xf numFmtId="0" fontId="5" fillId="5" borderId="13" xfId="0" applyNumberFormat="1" applyFont="1" applyFill="1" applyBorder="1"/>
    <x:xf numFmtId="0" fontId="5" fillId="5" borderId="11" xfId="0" applyNumberFormat="1" applyFont="1" applyFill="1" applyBorder="1" applyAlignment="1">
      <x:alignment wrapText="1"/>
    </x:xf>
    <x:xf numFmtId="0" fontId="5" fillId="5" borderId="12" xfId="0" applyNumberFormat="1" applyFont="1" applyFill="1" applyBorder="1" applyAlignment="1">
      <x:alignment wrapText="1"/>
    </x:xf>
    <x:xf numFmtId="0" fontId="5" fillId="5" borderId="13" xfId="0" applyNumberFormat="1" applyFont="1" applyFill="1" applyBorder="1" applyAlignment="1">
      <x:alignment wrapText="1"/>
    </x:xf>
    <x:xf numFmtId="0" fontId="5" fillId="5" borderId="11" xfId="0" applyNumberFormat="1" applyFont="1" applyFill="1" applyBorder="1" applyAlignment="1">
      <x:alignment horizontal="center" wrapText="1"/>
    </x:xf>
    <x:xf numFmtId="0" fontId="5" fillId="5" borderId="12" xfId="0" applyNumberFormat="1" applyFont="1" applyFill="1" applyBorder="1" applyAlignment="1">
      <x:alignment horizontal="center" wrapText="1"/>
    </x:xf>
    <x:xf numFmtId="0" fontId="5" fillId="5" borderId="13" xfId="0" applyNumberFormat="1" applyFont="1" applyFill="1" applyBorder="1" applyAlignment="1">
      <x:alignment horizontal="center" wrapText="1"/>
    </x:xf>
    <x:xf numFmtId="0" fontId="5" fillId="5" borderId="11" xfId="0" applyNumberFormat="1" applyFont="1" applyFill="1" applyBorder="1" applyAlignment="1">
      <x:alignment horizontal="center" vertical="center" wrapText="1"/>
    </x:xf>
    <x:xf numFmtId="0" fontId="5" fillId="5" borderId="12" xfId="0" applyNumberFormat="1" applyFont="1" applyFill="1" applyBorder="1" applyAlignment="1">
      <x:alignment horizontal="center" vertical="center" wrapText="1"/>
    </x:xf>
    <x:xf numFmtId="0" fontId="5" fillId="5" borderId="13" xfId="0" applyNumberFormat="1" applyFont="1" applyFill="1" applyBorder="1" applyAlignment="1">
      <x:alignment horizontal="center" vertical="center" wrapText="1"/>
    </x:xf>
    <x:xf numFmtId="201" fontId="1" fillId="3" borderId="0" xfId="0" applyNumberFormat="1" applyFont="1" applyFill="1" applyBorder="1"/>
    <x:xf numFmtId="0" fontId="5" fillId="5" borderId="11" xfId="0" applyNumberFormat="1" applyFont="1" applyFill="1" applyBorder="1" applyAlignment="1">
      <x:alignment horizontal="center" vertical="top" wrapText="1"/>
    </x:xf>
    <x:xf numFmtId="0" fontId="5" fillId="5" borderId="12" xfId="0" applyNumberFormat="1" applyFont="1" applyFill="1" applyBorder="1" applyAlignment="1">
      <x:alignment horizontal="center" vertical="top" wrapText="1"/>
    </x:xf>
    <x:xf numFmtId="0" fontId="5" fillId="5" borderId="13" xfId="0" applyNumberFormat="1" applyFont="1" applyFill="1" applyBorder="1" applyAlignment="1">
      <x:alignment horizontal="center" vertical="top" wrapText="1"/>
    </x:xf>
    <x:xf numFmtId="0" fontId="1" fillId="0" borderId="0" xfId="0" applyNumberFormat="1" applyFont="1" applyFill="1" applyBorder="1" applyAlignment="1">
      <x:alignment vertical="top"/>
    </x:xf>
    <x:xf numFmtId="0" fontId="1" fillId="3" borderId="0" xfId="0" applyNumberFormat="1" applyFont="1" applyFill="1" applyBorder="1" applyAlignment="1">
      <x:alignment vertical="top"/>
    </x:xf>
    <x:xf numFmtId="201" fontId="1" fillId="3" borderId="0" xfId="0" applyNumberFormat="1" applyFont="1" applyFill="1" applyBorder="1" applyAlignment="1">
      <x:alignment vertical="top"/>
    </x:xf>
    <x:xf numFmtId="0" fontId="1" fillId="0" borderId="14" xfId="0" applyNumberFormat="1" applyFont="1" applyFill="1" applyBorder="1" applyAlignment="1">
      <x:alignment vertical="top"/>
    </x:xf>
    <x:xf numFmtId="0" fontId="1" fillId="3" borderId="14" xfId="0" applyNumberFormat="1" applyFont="1" applyFill="1" applyBorder="1" applyAlignment="1">
      <x:alignment vertical="top"/>
    </x:xf>
    <x:xf numFmtId="201" fontId="1" fillId="3" borderId="14" xfId="0" applyNumberFormat="1" applyFont="1" applyFill="1" applyBorder="1" applyAlignment="1">
      <x:alignment vertical="top"/>
    </x:xf>
    <x:xf numFmtId="0" fontId="1" fillId="0" borderId="15" xfId="0" applyNumberFormat="1" applyFont="1" applyFill="1" applyBorder="1" applyAlignment="1">
      <x:alignment vertical="top"/>
    </x:xf>
    <x:xf numFmtId="0" fontId="1" fillId="3" borderId="15" xfId="0" applyNumberFormat="1" applyFont="1" applyFill="1" applyBorder="1" applyAlignment="1">
      <x:alignment vertical="top"/>
    </x:xf>
    <x:xf numFmtId="201" fontId="1" fillId="3" borderId="15" xfId="0" applyNumberFormat="1" applyFont="1" applyFill="1" applyBorder="1" applyAlignment="1">
      <x:alignment vertical="top"/>
    </x:xf>
    <x:xf numFmtId="0" fontId="1" fillId="0" borderId="16" xfId="0" applyNumberFormat="1" applyFont="1" applyFill="1" applyBorder="1" applyAlignment="1">
      <x:alignment vertical="top"/>
    </x:xf>
    <x:xf numFmtId="0" fontId="1" fillId="3" borderId="16" xfId="0" applyNumberFormat="1" applyFont="1" applyFill="1" applyBorder="1" applyAlignment="1">
      <x:alignment vertical="top"/>
    </x:xf>
    <x:xf numFmtId="201" fontId="1" fillId="3" borderId="16" xfId="0" applyNumberFormat="1" applyFont="1" applyFill="1" applyBorder="1" applyAlignment="1">
      <x:alignment vertical="top"/>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3" borderId="14" xfId="0" applyNumberFormat="1" applyFont="1" applyFill="1" applyBorder="1" applyAlignment="1">
      <x:alignment vertical="top" wrapText="1"/>
    </x:xf>
    <x:xf numFmtId="0" fontId="1" fillId="3" borderId="15" xfId="0" applyNumberFormat="1" applyFont="1" applyFill="1" applyBorder="1" applyAlignment="1">
      <x:alignment vertical="top" wrapText="1"/>
    </x:xf>
    <x:xf numFmtId="0" fontId="1" fillId="3" borderId="16" xfId="0" applyNumberFormat="1" applyFont="1" applyFill="1" applyBorder="1" applyAlignment="1">
      <x:alignment vertical="top" wrapText="1"/>
    </x:xf>
    <x:xf numFmtId="0" fontId="0" fillId="0" borderId="1" xfId="0" applyNumberFormat="1" applyFont="1" applyFill="1" applyBorder="1"/>
    <x:xf numFmtId="0" fontId="5" fillId="5" borderId="0" xfId="0" applyNumberFormat="1" applyFont="1" applyFill="1" applyBorder="1" applyAlignment="1">
      <x:alignment horizontal="center"/>
    </x:xf>
    <x:xf numFmtId="0" fontId="1" fillId="0" borderId="0" xfId="0" applyNumberFormat="1" applyFont="1" applyFill="1" applyBorder="1" applyAlignment="1">
      <x:alignment horizontal="center"/>
    </x:xf>
    <x:xf numFmtId="0" fontId="1" fillId="0" borderId="0" xfId="0" applyNumberFormat="1" applyFont="1" applyFill="1" applyBorder="1" applyAlignment="1">
      <x:alignment wrapText="1"/>
    </x:xf>
    <x:xf numFmtId="0" fontId="5" fillId="5" borderId="0" xfId="0" applyNumberFormat="1" applyFont="1" applyFill="1" applyBorder="1" applyAlignment="1">
      <x:alignment horizontal="center" vertical="top"/>
    </x:xf>
    <x:xf numFmtId="0" fontId="1" fillId="0" borderId="0" xfId="0" applyNumberFormat="1" applyFont="1" applyFill="1" applyBorder="1" applyAlignment="1">
      <x:alignment horizontal="center" vertical="top"/>
    </x:xf>
    <x:xf numFmtId="0" fontId="1" fillId="0" borderId="0" xfId="0" applyNumberFormat="1" applyFont="1" applyFill="1" applyBorder="1" applyAlignment="1">
      <x:alignment vertical="top" wrapText="1"/>
    </x:xf>
    <x:xf numFmtId="0" fontId="5" fillId="5" borderId="14" xfId="0" applyNumberFormat="1" applyFont="1" applyFill="1" applyBorder="1" applyAlignment="1">
      <x:alignment horizontal="center" vertical="top"/>
    </x:xf>
    <x:xf numFmtId="0" fontId="1" fillId="0" borderId="15" xfId="0" applyNumberFormat="1" applyFont="1" applyFill="1" applyBorder="1" applyAlignment="1">
      <x:alignment horizontal="center" vertical="top"/>
    </x:xf>
  </x:cellXfs>
  <x:cellStyles count="1">
    <x:cellStyle name="Normal" xfId="0"/>
  </x:cellStyles>
  <x:dxfs count="5">
    <x:dxf>
      <x:font>
        <x:b/>
        <x:color rgb="FF9C0006"/>
      </x:font>
      <x:fill>
        <x:patternFill patternType="solid">
          <x:bgColor rgb="FFFCE4D6"/>
        </x:patternFill>
      </x:fill>
    </x:dxf>
    <x:dxf>
      <x:fill>
        <x:patternFill patternType="solid">
          <x:bgColor rgb="FFFCE4D6"/>
        </x:patternFill>
      </x:fill>
    </x:dxf>
    <x:dxf>
      <x:fill>
        <x:patternFill patternType="solid">
          <x:bgColor rgb="FFFCE4D6"/>
        </x:patternFill>
      </x:fill>
    </x:dxf>
    <x:dxf>
      <x:fill>
        <x:patternFill patternType="solid">
          <x:bgColor rgb="FFFCE4D6"/>
        </x:patternFill>
      </x:fill>
    </x:dxf>
    <x:dxf>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a4b0ecbb0149ab" /><Relationship Type="http://schemas.openxmlformats.org/officeDocument/2006/relationships/theme" Target="/xl/theme/theme1.xml" Id="R7b905b8b52bc44f4" /><Relationship Type="http://schemas.openxmlformats.org/officeDocument/2006/relationships/sharedStrings" Target="/xl/sharedStrings.xml" Id="R4d2b1b22f0e743ac" /><Relationship Type="http://schemas.openxmlformats.org/officeDocument/2006/relationships/worksheet" Target="/xl/worksheets/sheet1.xml" Id="R777c816a8ca64d99" /><Relationship Type="http://schemas.openxmlformats.org/officeDocument/2006/relationships/worksheet" Target="/xl/worksheets/sheet2.xml" Id="R07a1b4389e40484c" /><Relationship Type="http://schemas.openxmlformats.org/officeDocument/2006/relationships/worksheet" Target="/xl/worksheets/sheet3.xml" Id="R259479d53c2e45f6" /></Relationships>
</file>

<file path=xl/tables/table1.xml><?xml version="1.0" encoding="utf-8"?>
<x:table xmlns:x="http://schemas.openxmlformats.org/spreadsheetml/2006/main" id="1" name="AdjudicationTable" displayName="AdjudicationTable" ref="A1:Q81" headerRowCount="1" totalsRowCount="0" totalsRowShown="0">
  <x:tableColumns count="17">
    <x:tableColumn id="1" name="row_key"/>
    <x:tableColumn id="2" name="case_id"/>
    <x:tableColumn id="3" name="claim"/>
    <x:tableColumn id="4" name="dataset_id"/>
    <x:tableColumn id="5" name="platform"/>
    <x:tableColumn id="6" name="collection_period"/>
    <x:tableColumn id="7" name="unit"/>
    <x:tableColumn id="8" name="claim_subject"/>
    <x:tableColumn id="9" name="evidence"/>
    <x:tableColumn id="10" name="source"/>
    <x:tableColumn id="11" name="source_locator"/>
    <x:tableColumn id="12" name="source_sha256"/>
    <x:tableColumn id="13" name="source_hash_scope"/>
    <x:tableColumn id="14" name="reviewer_label"/>
    <x:tableColumn id="15" name="rationale"/>
    <x:tableColumn id="16" name="source_checked"/>
    <x:tableColumn id="17" name="decided_at_utc"/>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953ef935b14e37"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23"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20" customHeight="1">
      <x:c r="A1" s="1"/>
      <x:c r="B1" s="1"/>
      <x:c r="C1" s="1"/>
      <x:c r="D1" s="1"/>
      <x:c r="E1" s="1"/>
      <x:c r="F1" s="1"/>
      <x:c r="G1" s="1"/>
      <x:c r="H1" s="1"/>
    </x:row>
    <x:row r="2" ht="28" customHeight="1">
      <x:c r="A2" s="21" t="str">
        <x:v>Independent benchmark adjudication</x:v>
      </x:c>
      <x:c r="B2" s="22"/>
      <x:c r="C2" s="22"/>
      <x:c r="D2" s="22"/>
      <x:c r="E2" s="22"/>
      <x:c r="F2" s="22"/>
      <x:c r="G2" s="22"/>
      <x:c r="H2" s="22"/>
    </x:row>
    <x:row r="3" ht="20" customHeight="1">
      <x:c r="A3" s="23"/>
      <x:c r="B3" s="23"/>
      <x:c r="C3" s="23"/>
      <x:c r="D3" s="23"/>
      <x:c r="E3" s="23"/>
      <x:c r="F3" s="23"/>
      <x:c r="G3" s="23"/>
      <x:c r="H3" s="23"/>
    </x:row>
    <x:row r="4" ht="20" customHeight="1">
      <x:c r="A4" s="22"/>
      <x:c r="B4" s="22"/>
      <x:c r="C4" s="22"/>
      <x:c r="D4" s="22"/>
      <x:c r="E4" s="22"/>
      <x:c r="F4" s="22"/>
      <x:c r="G4" s="22"/>
      <x:c r="H4" s="22"/>
    </x:row>
    <x:row r="5" ht="20" customHeight="1">
      <x:c r="A5" s="24" t="str">
        <x:v>Packet rows</x:v>
      </x:c>
      <x:c r="B5" s="35" t="n">
        <x:f>COUNTA(Adjudication!A2:A81)</x:f>
        <x:v>80</x:v>
      </x:c>
      <x:c r="C5" s="22"/>
      <x:c r="D5" s="22"/>
      <x:c r="E5" s="22"/>
      <x:c r="F5" s="22"/>
      <x:c r="G5" s="22"/>
      <x:c r="H5" s="22"/>
    </x:row>
    <x:row r="6" ht="20" customHeight="1">
      <x:c r="A6" s="26" t="str">
        <x:v>Completed labels</x:v>
      </x:c>
      <x:c r="B6" s="36" t="n">
        <x:f>COUNTIF(Adjudication!N2:N81,"supported")+COUNTIF(Adjudication!N2:N81,"contradicted")+COUNTIF(Adjudication!N2:N81,"unknown")</x:f>
        <x:v>0</x:v>
      </x:c>
      <x:c r="C6" s="22"/>
      <x:c r="D6" s="22"/>
      <x:c r="E6" s="22"/>
      <x:c r="F6" s="22"/>
      <x:c r="G6" s="22"/>
      <x:c r="H6" s="22"/>
    </x:row>
    <x:row r="7" ht="20" customHeight="1">
      <x:c r="A7" s="26" t="str">
        <x:v>Rows fully completed</x:v>
      </x:c>
      <x:c r="B7" s="36" t="n">
        <x:f>COUNTIFS(Adjudication!N2:N81,"&lt;&gt;",Adjudication!O2:O81,"&lt;&gt;",Adjudication!P2:P81,"yes",Adjudication!Q2:Q81,"&lt;&gt;")</x:f>
        <x:v>0</x:v>
      </x:c>
      <x:c r="C7" s="22"/>
      <x:c r="D7" s="22"/>
      <x:c r="E7" s="22"/>
      <x:c r="F7" s="22"/>
      <x:c r="G7" s="22"/>
      <x:c r="H7" s="22"/>
    </x:row>
    <x:row r="8" ht="20" customHeight="1">
      <x:c r="A8" s="26" t="str">
        <x:v>Rows remaining</x:v>
      </x:c>
      <x:c r="B8" s="36" t="n">
        <x:f>B5-B7</x:f>
        <x:v>80</x:v>
      </x:c>
      <x:c r="C8" s="22"/>
      <x:c r="D8" s="22"/>
      <x:c r="E8" s="22"/>
      <x:c r="F8" s="22"/>
      <x:c r="G8" s="22"/>
      <x:c r="H8" s="22"/>
    </x:row>
    <x:row r="9" ht="20" customHeight="1">
      <x:c r="A9" s="28" t="str">
        <x:v>Provisional labels visible</x:v>
      </x:c>
      <x:c r="B9" s="29" t="str">
        <x:v>No</x:v>
      </x:c>
      <x:c r="C9" s="22"/>
      <x:c r="D9" s="22"/>
      <x:c r="E9" s="22"/>
      <x:c r="F9" s="22"/>
      <x:c r="G9" s="22"/>
      <x:c r="H9" s="22"/>
    </x:row>
    <x:row r="10" ht="20" customHeight="1">
      <x:c r="A10" s="22"/>
      <x:c r="B10" s="22"/>
      <x:c r="C10" s="22"/>
      <x:c r="D10" s="22"/>
      <x:c r="E10" s="22"/>
      <x:c r="F10" s="22"/>
      <x:c r="G10" s="22"/>
      <x:c r="H10" s="22"/>
    </x:row>
    <x:row r="11" ht="20" customHeight="1">
      <x:c r="A11" s="30" t="str">
        <x:v>Reviewer identifier</x:v>
      </x:c>
      <x:c r="B11" s="31" t="str"/>
      <x:c r="C11" s="22"/>
      <x:c r="D11" s="22"/>
      <x:c r="E11" s="22"/>
      <x:c r="F11" s="22"/>
      <x:c r="G11" s="22"/>
      <x:c r="H11" s="22"/>
    </x:row>
    <x:row r="12" ht="20" customHeight="1">
      <x:c r="A12" s="30" t="str">
        <x:v>Independent review confirmation</x:v>
      </x:c>
      <x:c r="B12" s="32" t="str"/>
      <x:c r="C12" s="22"/>
      <x:c r="D12" s="22"/>
      <x:c r="E12" s="22"/>
      <x:c r="F12" s="22"/>
      <x:c r="G12" s="22"/>
      <x:c r="H12" s="22"/>
    </x:row>
    <x:row r="13" ht="20" customHeight="1">
      <x:c r="A13" s="30" t="str">
        <x:v>Conflict disclosure</x:v>
      </x:c>
      <x:c r="B13" s="32" t="str"/>
      <x:c r="C13" s="22"/>
      <x:c r="D13" s="22"/>
      <x:c r="E13" s="22"/>
      <x:c r="F13" s="22"/>
      <x:c r="G13" s="22"/>
      <x:c r="H13" s="22"/>
    </x:row>
    <x:row r="14" ht="20" customHeight="1">
      <x:c r="A14" s="30" t="str">
        <x:v>Review completed at UTC</x:v>
      </x:c>
      <x:c r="B14" s="37" t="str"/>
      <x:c r="C14" s="22"/>
      <x:c r="D14" s="22"/>
      <x:c r="E14" s="22"/>
      <x:c r="F14" s="22"/>
      <x:c r="G14" s="22"/>
      <x:c r="H14" s="22"/>
    </x:row>
    <x:row r="15" ht="20" customHeight="1">
      <x:c r="A15" s="22"/>
      <x:c r="B15" s="22"/>
      <x:c r="C15" s="22"/>
      <x:c r="D15" s="22"/>
      <x:c r="E15" s="22"/>
      <x:c r="F15" s="22"/>
      <x:c r="G15" s="22"/>
      <x:c r="H15" s="22"/>
    </x:row>
    <x:row r="16" ht="28" customHeight="1">
      <x:c r="A16" s="20" t="str">
        <x:v>Complete every yellow field. Use supported only when the cited evidence directly supports the named claim at the stated unit. Use contradicted only when the evidence directly conflicts with it. Use unknown whenever the evidence does not settle the claim.</x:v>
      </x:c>
      <x:c r="B16" s="22"/>
      <x:c r="C16" s="22"/>
      <x:c r="D16" s="22"/>
      <x:c r="E16" s="22"/>
      <x:c r="F16" s="22"/>
      <x:c r="G16" s="22"/>
      <x:c r="H16" s="22"/>
    </x:row>
    <x:row r="17" ht="28" customHeight="1">
      <x:c r="A17" s="22"/>
      <x:c r="B17" s="22"/>
      <x:c r="C17" s="22"/>
      <x:c r="D17" s="22"/>
      <x:c r="E17" s="22"/>
      <x:c r="F17" s="22"/>
      <x:c r="G17" s="22"/>
      <x:c r="H17" s="22"/>
    </x:row>
    <x:row r="18" ht="28" customHeight="1">
      <x:c r="A18" s="22"/>
      <x:c r="B18" s="22"/>
      <x:c r="C18" s="22"/>
      <x:c r="D18" s="22"/>
      <x:c r="E18" s="22"/>
      <x:c r="F18" s="22"/>
      <x:c r="G18" s="22"/>
      <x:c r="H18" s="22"/>
    </x:row>
    <x:row r="19" ht="20" customHeight="1">
      <x:c r="A19" s="34"/>
      <x:c r="B19" s="34"/>
      <x:c r="C19" s="34"/>
      <x:c r="D19" s="34"/>
      <x:c r="E19" s="34"/>
      <x:c r="F19" s="34"/>
      <x:c r="G19" s="34"/>
      <x:c r="H19" s="34"/>
    </x:row>
    <x:row r="20" ht="20" customHeight="1">
      <x:c r="A20" s="34"/>
      <x:c r="B20" s="34"/>
      <x:c r="C20" s="34"/>
      <x:c r="D20" s="34"/>
      <x:c r="E20" s="34"/>
      <x:c r="F20" s="34"/>
      <x:c r="G20" s="34"/>
      <x:c r="H20" s="34"/>
    </x:row>
  </x:sheetData>
  <x:mergeCells>
    <x:mergeCell ref="A2:H2"/>
    <x:mergeCell ref="A16:H18"/>
  </x:mergeCells>
  <x:conditionalFormatting sqref="B8:B8">
    <x:cfRule type="cellIs" dxfId="0" priority="1" operator="greaterThan">
      <x:formula>0</x:formula>
    </x:cfRule>
  </x:conditionalFormatting>
  <x:dataValidations count="1">
    <x:dataValidation type="list" sqref="B12">
      <x:formula1>"confirmed"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35" hidden="0" customWidth="1"/>
    <x:col min="2" max="2" width="31" hidden="0" customWidth="1"/>
    <x:col min="3" max="3" width="24" hidden="0" customWidth="1"/>
    <x:col min="4" max="4" width="31" hidden="0" customWidth="1"/>
    <x:col min="5" max="5" width="12" hidden="0" customWidth="1"/>
    <x:col min="6" max="6" width="19" hidden="0" customWidth="1"/>
    <x:col min="7" max="7" width="25" hidden="0" customWidth="1"/>
    <x:col min="8" max="8" width="47" hidden="0" customWidth="1"/>
    <x:col min="9" max="9" width="70" hidden="0" customWidth="1"/>
    <x:col min="10" max="10" width="58" hidden="0" customWidth="1"/>
    <x:col min="11" max="11" width="46" hidden="0" customWidth="1"/>
    <x:col min="12" max="12" width="66" hidden="0" customWidth="1"/>
    <x:col min="13" max="13" width="62" hidden="0" customWidth="1"/>
    <x:col min="14" max="14" width="18" hidden="0" customWidth="1"/>
    <x:col min="15" max="15" width="48" hidden="0" customWidth="1"/>
    <x:col min="16" max="16" width="16" hidden="0" customWidth="1"/>
    <x:col min="17" max="17" width="22" hidden="0" customWidth="1"/>
  </x:cols>
  <x:sheetData>
    <x:row r="1">
      <x:c r="A1" s="53" t="str">
        <x:v>row_key</x:v>
      </x:c>
      <x:c r="B1" s="54" t="str">
        <x:v>case_id</x:v>
      </x:c>
      <x:c r="C1" s="54" t="str">
        <x:v>claim</x:v>
      </x:c>
      <x:c r="D1" s="54" t="str">
        <x:v>dataset_id</x:v>
      </x:c>
      <x:c r="E1" s="54" t="str">
        <x:v>platform</x:v>
      </x:c>
      <x:c r="F1" s="54" t="str">
        <x:v>collection_period</x:v>
      </x:c>
      <x:c r="G1" s="54" t="str">
        <x:v>unit</x:v>
      </x:c>
      <x:c r="H1" s="54" t="str">
        <x:v>claim_subject</x:v>
      </x:c>
      <x:c r="I1" s="54" t="str">
        <x:v>evidence</x:v>
      </x:c>
      <x:c r="J1" s="54" t="str">
        <x:v>source</x:v>
      </x:c>
      <x:c r="K1" s="54" t="str">
        <x:v>source_locator</x:v>
      </x:c>
      <x:c r="L1" s="54" t="str">
        <x:v>source_sha256</x:v>
      </x:c>
      <x:c r="M1" s="54" t="str">
        <x:v>source_hash_scope</x:v>
      </x:c>
      <x:c r="N1" s="54" t="str">
        <x:v>reviewer_label</x:v>
      </x:c>
      <x:c r="O1" s="54" t="str">
        <x:v>rationale</x:v>
      </x:c>
      <x:c r="P1" s="54" t="str">
        <x:v>source_checked</x:v>
      </x:c>
      <x:c r="Q1" s="55" t="str">
        <x:v>decided_at_utc</x:v>
      </x:c>
    </x:row>
    <x:row r="2" ht="45" customHeight="1">
      <x:c r="A2" s="59" t="str">
        <x:v>displayed_origin_only:origin</x:v>
      </x:c>
      <x:c r="B2" s="59" t="str">
        <x:v>displayed_origin_only</x:v>
      </x:c>
      <x:c r="C2" s="59" t="str">
        <x:v>origin</x:v>
      </x:c>
      <x:c r="D2" s="59" t="str">
        <x:v>local_origin_600</x:v>
      </x:c>
      <x:c r="E2" s="59" t="str">
        <x:v>X</x:v>
      </x:c>
      <x:c r="F2" s="59" t="str">
        <x:v>2026</x:v>
      </x:c>
      <x:c r="G2" s="59" t="str">
        <x:v>selected_visible_repost_events</x:v>
      </x:c>
      <x:c r="H2" s="68" t="str">
        <x:v>Selected reposters displayed as non-US by X had foreign operators</x:v>
      </x:c>
      <x:c r="I2" s="68" t="str">
        <x:v>X displayed a non-US country for some selected visible reposters; no independent location or operator verification.</x:v>
      </x:c>
      <x:c r="J2" s="68" t="str">
        <x:v>sources/local_reports/origin_600_report_v1.md</x:v>
      </x:c>
      <x:c r="K2" s="68" t="str">
        <x:v>Executive summary; Design and estimand; Evidence and limitations</x:v>
      </x:c>
      <x:c r="L2" s="59" t="str">
        <x:v>7104d775903b53f6ef5c1de1061f2888a7e4c2cc8ed174a3e810d852739ab412</x:v>
      </x:c>
      <x:c r="M2" s="68" t="str">
        <x:v>Local report file bytes at case assembly</x:v>
      </x:c>
      <x:c r="N2" s="71" t="str"/>
      <x:c r="O2" s="71" t="str"/>
      <x:c r="P2" s="60" t="str"/>
      <x:c r="Q2" s="61" t="str"/>
    </x:row>
    <x:row r="3" ht="45" customHeight="1">
      <x:c r="A3" s="62" t="str">
        <x:v>displayed_origin_only:operation_attribution</x:v>
      </x:c>
      <x:c r="B3" s="62" t="str">
        <x:v>displayed_origin_only</x:v>
      </x:c>
      <x:c r="C3" s="62" t="str">
        <x:v>operation_attribution</x:v>
      </x:c>
      <x:c r="D3" s="62" t="str">
        <x:v>local_origin_600</x:v>
      </x:c>
      <x:c r="E3" s="62" t="str">
        <x:v>X</x:v>
      </x:c>
      <x:c r="F3" s="62" t="str">
        <x:v>2026</x:v>
      </x:c>
      <x:c r="G3" s="62" t="str">
        <x:v>selected_visible_repost_events</x:v>
      </x:c>
      <x:c r="H3" s="69" t="str">
        <x:v>Selected reposters displayed as non-US by X had foreign operators</x:v>
      </x:c>
      <x:c r="I3" s="69" t="str">
        <x:v>X displayed a non-US country for some selected visible reposters; no independent location or operator verification.</x:v>
      </x:c>
      <x:c r="J3" s="69" t="str">
        <x:v>sources/local_reports/origin_600_report_v1.md</x:v>
      </x:c>
      <x:c r="K3" s="69" t="str">
        <x:v>Executive summary; Design and estimand; Evidence and limitations</x:v>
      </x:c>
      <x:c r="L3" s="62" t="str">
        <x:v>7104d775903b53f6ef5c1de1061f2888a7e4c2cc8ed174a3e810d852739ab412</x:v>
      </x:c>
      <x:c r="M3" s="69" t="str">
        <x:v>Local report file bytes at case assembly</x:v>
      </x:c>
      <x:c r="N3" s="72" t="str"/>
      <x:c r="O3" s="72" t="str"/>
      <x:c r="P3" s="63" t="str"/>
      <x:c r="Q3" s="64" t="str"/>
    </x:row>
    <x:row r="4" ht="45" customHeight="1">
      <x:c r="A4" s="62" t="str">
        <x:v>displayed_origin_only:automation</x:v>
      </x:c>
      <x:c r="B4" s="62" t="str">
        <x:v>displayed_origin_only</x:v>
      </x:c>
      <x:c r="C4" s="62" t="str">
        <x:v>automation</x:v>
      </x:c>
      <x:c r="D4" s="62" t="str">
        <x:v>local_origin_600</x:v>
      </x:c>
      <x:c r="E4" s="62" t="str">
        <x:v>X</x:v>
      </x:c>
      <x:c r="F4" s="62" t="str">
        <x:v>2026</x:v>
      </x:c>
      <x:c r="G4" s="62" t="str">
        <x:v>selected_visible_repost_events</x:v>
      </x:c>
      <x:c r="H4" s="69" t="str">
        <x:v>Selected reposters displayed as non-US by X had foreign operators</x:v>
      </x:c>
      <x:c r="I4" s="69" t="str">
        <x:v>X displayed a non-US country for some selected visible reposters; no independent location or operator verification.</x:v>
      </x:c>
      <x:c r="J4" s="69" t="str">
        <x:v>sources/local_reports/origin_600_report_v1.md</x:v>
      </x:c>
      <x:c r="K4" s="69" t="str">
        <x:v>Executive summary; Design and estimand; Evidence and limitations</x:v>
      </x:c>
      <x:c r="L4" s="62" t="str">
        <x:v>7104d775903b53f6ef5c1de1061f2888a7e4c2cc8ed174a3e810d852739ab412</x:v>
      </x:c>
      <x:c r="M4" s="69" t="str">
        <x:v>Local report file bytes at case assembly</x:v>
      </x:c>
      <x:c r="N4" s="72" t="str"/>
      <x:c r="O4" s="72" t="str"/>
      <x:c r="P4" s="63" t="str"/>
      <x:c r="Q4" s="64" t="str"/>
    </x:row>
    <x:row r="5" ht="45" customHeight="1">
      <x:c r="A5" s="62" t="str">
        <x:v>displayed_origin_only:coordination</x:v>
      </x:c>
      <x:c r="B5" s="62" t="str">
        <x:v>displayed_origin_only</x:v>
      </x:c>
      <x:c r="C5" s="62" t="str">
        <x:v>coordination</x:v>
      </x:c>
      <x:c r="D5" s="62" t="str">
        <x:v>local_origin_600</x:v>
      </x:c>
      <x:c r="E5" s="62" t="str">
        <x:v>X</x:v>
      </x:c>
      <x:c r="F5" s="62" t="str">
        <x:v>2026</x:v>
      </x:c>
      <x:c r="G5" s="62" t="str">
        <x:v>selected_visible_repost_events</x:v>
      </x:c>
      <x:c r="H5" s="69" t="str">
        <x:v>Selected reposters displayed as non-US by X had foreign operators</x:v>
      </x:c>
      <x:c r="I5" s="69" t="str">
        <x:v>X displayed a non-US country for some selected visible reposters; no independent location or operator verification.</x:v>
      </x:c>
      <x:c r="J5" s="69" t="str">
        <x:v>sources/local_reports/origin_600_report_v1.md</x:v>
      </x:c>
      <x:c r="K5" s="69" t="str">
        <x:v>Executive summary; Design and estimand; Evidence and limitations</x:v>
      </x:c>
      <x:c r="L5" s="62" t="str">
        <x:v>7104d775903b53f6ef5c1de1061f2888a7e4c2cc8ed174a3e810d852739ab412</x:v>
      </x:c>
      <x:c r="M5" s="69" t="str">
        <x:v>Local report file bytes at case assembly</x:v>
      </x:c>
      <x:c r="N5" s="72" t="str"/>
      <x:c r="O5" s="72" t="str"/>
      <x:c r="P5" s="63" t="str"/>
      <x:c r="Q5" s="64" t="str"/>
    </x:row>
    <x:row r="6" ht="45" customHeight="1">
      <x:c r="A6" s="62" t="str">
        <x:v>displayed_origin_only:deception</x:v>
      </x:c>
      <x:c r="B6" s="62" t="str">
        <x:v>displayed_origin_only</x:v>
      </x:c>
      <x:c r="C6" s="62" t="str">
        <x:v>deception</x:v>
      </x:c>
      <x:c r="D6" s="62" t="str">
        <x:v>local_origin_600</x:v>
      </x:c>
      <x:c r="E6" s="62" t="str">
        <x:v>X</x:v>
      </x:c>
      <x:c r="F6" s="62" t="str">
        <x:v>2026</x:v>
      </x:c>
      <x:c r="G6" s="62" t="str">
        <x:v>selected_visible_repost_events</x:v>
      </x:c>
      <x:c r="H6" s="69" t="str">
        <x:v>Selected reposters displayed as non-US by X had foreign operators</x:v>
      </x:c>
      <x:c r="I6" s="69" t="str">
        <x:v>X displayed a non-US country for some selected visible reposters; no independent location or operator verification.</x:v>
      </x:c>
      <x:c r="J6" s="69" t="str">
        <x:v>sources/local_reports/origin_600_report_v1.md</x:v>
      </x:c>
      <x:c r="K6" s="69" t="str">
        <x:v>Executive summary; Design and estimand; Evidence and limitations</x:v>
      </x:c>
      <x:c r="L6" s="62" t="str">
        <x:v>7104d775903b53f6ef5c1de1061f2888a7e4c2cc8ed174a3e810d852739ab412</x:v>
      </x:c>
      <x:c r="M6" s="69" t="str">
        <x:v>Local report file bytes at case assembly</x:v>
      </x:c>
      <x:c r="N6" s="72" t="str"/>
      <x:c r="O6" s="72" t="str"/>
      <x:c r="P6" s="63" t="str"/>
      <x:c r="Q6" s="64" t="str"/>
    </x:row>
    <x:row r="7" ht="45" customHeight="1">
      <x:c r="A7" s="62" t="str">
        <x:v>displayed_origin_only:exposure</x:v>
      </x:c>
      <x:c r="B7" s="62" t="str">
        <x:v>displayed_origin_only</x:v>
      </x:c>
      <x:c r="C7" s="62" t="str">
        <x:v>exposure</x:v>
      </x:c>
      <x:c r="D7" s="62" t="str">
        <x:v>local_origin_600</x:v>
      </x:c>
      <x:c r="E7" s="62" t="str">
        <x:v>X</x:v>
      </x:c>
      <x:c r="F7" s="62" t="str">
        <x:v>2026</x:v>
      </x:c>
      <x:c r="G7" s="62" t="str">
        <x:v>selected_visible_repost_events</x:v>
      </x:c>
      <x:c r="H7" s="69" t="str">
        <x:v>Selected reposters displayed as non-US by X had foreign operators</x:v>
      </x:c>
      <x:c r="I7" s="69" t="str">
        <x:v>X displayed a non-US country for some selected visible reposters; no independent location or operator verification.</x:v>
      </x:c>
      <x:c r="J7" s="69" t="str">
        <x:v>sources/local_reports/origin_600_report_v1.md</x:v>
      </x:c>
      <x:c r="K7" s="69" t="str">
        <x:v>Executive summary; Design and estimand; Evidence and limitations</x:v>
      </x:c>
      <x:c r="L7" s="62" t="str">
        <x:v>7104d775903b53f6ef5c1de1061f2888a7e4c2cc8ed174a3e810d852739ab412</x:v>
      </x:c>
      <x:c r="M7" s="69" t="str">
        <x:v>Local report file bytes at case assembly</x:v>
      </x:c>
      <x:c r="N7" s="72" t="str"/>
      <x:c r="O7" s="72" t="str"/>
      <x:c r="P7" s="63" t="str"/>
      <x:c r="Q7" s="64" t="str"/>
    </x:row>
    <x:row r="8" ht="45" customHeight="1">
      <x:c r="A8" s="62" t="str">
        <x:v>displayed_origin_only:recommendation</x:v>
      </x:c>
      <x:c r="B8" s="62" t="str">
        <x:v>displayed_origin_only</x:v>
      </x:c>
      <x:c r="C8" s="62" t="str">
        <x:v>recommendation</x:v>
      </x:c>
      <x:c r="D8" s="62" t="str">
        <x:v>local_origin_600</x:v>
      </x:c>
      <x:c r="E8" s="62" t="str">
        <x:v>X</x:v>
      </x:c>
      <x:c r="F8" s="62" t="str">
        <x:v>2026</x:v>
      </x:c>
      <x:c r="G8" s="62" t="str">
        <x:v>selected_visible_repost_events</x:v>
      </x:c>
      <x:c r="H8" s="69" t="str">
        <x:v>Selected reposters displayed as non-US by X had foreign operators</x:v>
      </x:c>
      <x:c r="I8" s="69" t="str">
        <x:v>X displayed a non-US country for some selected visible reposters; no independent location or operator verification.</x:v>
      </x:c>
      <x:c r="J8" s="69" t="str">
        <x:v>sources/local_reports/origin_600_report_v1.md</x:v>
      </x:c>
      <x:c r="K8" s="69" t="str">
        <x:v>Executive summary; Design and estimand; Evidence and limitations</x:v>
      </x:c>
      <x:c r="L8" s="62" t="str">
        <x:v>7104d775903b53f6ef5c1de1061f2888a7e4c2cc8ed174a3e810d852739ab412</x:v>
      </x:c>
      <x:c r="M8" s="69" t="str">
        <x:v>Local report file bytes at case assembly</x:v>
      </x:c>
      <x:c r="N8" s="72" t="str"/>
      <x:c r="O8" s="72" t="str"/>
      <x:c r="P8" s="63" t="str"/>
      <x:c r="Q8" s="64" t="str"/>
    </x:row>
    <x:row r="9" ht="45" customHeight="1">
      <x:c r="A9" s="62" t="str">
        <x:v>displayed_origin_only:impact</x:v>
      </x:c>
      <x:c r="B9" s="62" t="str">
        <x:v>displayed_origin_only</x:v>
      </x:c>
      <x:c r="C9" s="62" t="str">
        <x:v>impact</x:v>
      </x:c>
      <x:c r="D9" s="62" t="str">
        <x:v>local_origin_600</x:v>
      </x:c>
      <x:c r="E9" s="62" t="str">
        <x:v>X</x:v>
      </x:c>
      <x:c r="F9" s="62" t="str">
        <x:v>2026</x:v>
      </x:c>
      <x:c r="G9" s="62" t="str">
        <x:v>selected_visible_repost_events</x:v>
      </x:c>
      <x:c r="H9" s="69" t="str">
        <x:v>Selected reposters displayed as non-US by X had foreign operators</x:v>
      </x:c>
      <x:c r="I9" s="69" t="str">
        <x:v>X displayed a non-US country for some selected visible reposters; no independent location or operator verification.</x:v>
      </x:c>
      <x:c r="J9" s="69" t="str">
        <x:v>sources/local_reports/origin_600_report_v1.md</x:v>
      </x:c>
      <x:c r="K9" s="69" t="str">
        <x:v>Executive summary; Design and estimand; Evidence and limitations</x:v>
      </x:c>
      <x:c r="L9" s="62" t="str">
        <x:v>7104d775903b53f6ef5c1de1061f2888a7e4c2cc8ed174a3e810d852739ab412</x:v>
      </x:c>
      <x:c r="M9" s="69" t="str">
        <x:v>Local report file bytes at case assembly</x:v>
      </x:c>
      <x:c r="N9" s="72" t="str"/>
      <x:c r="O9" s="72" t="str"/>
      <x:c r="P9" s="63" t="str"/>
      <x:c r="Q9" s="64" t="str"/>
    </x:row>
    <x:row r="10" ht="45" customHeight="1">
      <x:c r="A10" s="62" t="str">
        <x:v>feed_shift_only:origin</x:v>
      </x:c>
      <x:c r="B10" s="62" t="str">
        <x:v>feed_shift_only</x:v>
      </x:c>
      <x:c r="C10" s="62" t="str">
        <x:v>origin</x:v>
      </x:c>
      <x:c r="D10" s="62" t="str">
        <x:v>figshare_28033772_v1</x:v>
      </x:c>
      <x:c r="E10" s="62" t="str">
        <x:v>X</x:v>
      </x:c>
      <x:c r="F10" s="62" t="str">
        <x:v>2023</x:v>
      </x:c>
      <x:c r="G10" s="62" t="str">
        <x:v>aggregate_feed_comparison</x:v>
      </x:c>
      <x:c r="H10" s="69" t="str">
        <x:v>The 2023 matched feeds had a source-share increment relative to the followed baseline</x:v>
      </x:c>
      <x:c r="I10" s="69" t="str">
        <x:v>Paired 2023 feeds show an aggregate conservative-relative source-share shift; public rows anonymize accounts.</x:v>
      </x:c>
      <x:c r="J10" s="69" t="str">
        <x:v>sources/local_reports/matched_feed_2023_heterogeneity_report.md</x:v>
      </x:c>
      <x:c r="K10" s="69" t="str">
        <x:v>Executive summary and participant-level decomposition</x:v>
      </x:c>
      <x:c r="L10" s="62" t="str">
        <x:v>eca867cf8b9a2f7d0354c125bb050b7a28f7f7e4393152de79b5c855e2003142</x:v>
      </x:c>
      <x:c r="M10" s="69" t="str">
        <x:v>Local report file bytes at case assembly</x:v>
      </x:c>
      <x:c r="N10" s="72" t="str"/>
      <x:c r="O10" s="72" t="str"/>
      <x:c r="P10" s="63" t="str"/>
      <x:c r="Q10" s="64" t="str"/>
    </x:row>
    <x:row r="11" ht="45" customHeight="1">
      <x:c r="A11" s="62" t="str">
        <x:v>feed_shift_only:operation_attribution</x:v>
      </x:c>
      <x:c r="B11" s="62" t="str">
        <x:v>feed_shift_only</x:v>
      </x:c>
      <x:c r="C11" s="62" t="str">
        <x:v>operation_attribution</x:v>
      </x:c>
      <x:c r="D11" s="62" t="str">
        <x:v>figshare_28033772_v1</x:v>
      </x:c>
      <x:c r="E11" s="62" t="str">
        <x:v>X</x:v>
      </x:c>
      <x:c r="F11" s="62" t="str">
        <x:v>2023</x:v>
      </x:c>
      <x:c r="G11" s="62" t="str">
        <x:v>aggregate_feed_comparison</x:v>
      </x:c>
      <x:c r="H11" s="69" t="str">
        <x:v>The 2023 matched feeds had a source-share increment relative to the followed baseline</x:v>
      </x:c>
      <x:c r="I11" s="69" t="str">
        <x:v>Paired 2023 feeds show an aggregate conservative-relative source-share shift; public rows anonymize accounts.</x:v>
      </x:c>
      <x:c r="J11" s="69" t="str">
        <x:v>sources/local_reports/matched_feed_2023_heterogeneity_report.md</x:v>
      </x:c>
      <x:c r="K11" s="69" t="str">
        <x:v>Executive summary and participant-level decomposition</x:v>
      </x:c>
      <x:c r="L11" s="62" t="str">
        <x:v>eca867cf8b9a2f7d0354c125bb050b7a28f7f7e4393152de79b5c855e2003142</x:v>
      </x:c>
      <x:c r="M11" s="69" t="str">
        <x:v>Local report file bytes at case assembly</x:v>
      </x:c>
      <x:c r="N11" s="72" t="str"/>
      <x:c r="O11" s="72" t="str"/>
      <x:c r="P11" s="63" t="str"/>
      <x:c r="Q11" s="64" t="str"/>
    </x:row>
    <x:row r="12" ht="45" customHeight="1">
      <x:c r="A12" s="62" t="str">
        <x:v>feed_shift_only:automation</x:v>
      </x:c>
      <x:c r="B12" s="62" t="str">
        <x:v>feed_shift_only</x:v>
      </x:c>
      <x:c r="C12" s="62" t="str">
        <x:v>automation</x:v>
      </x:c>
      <x:c r="D12" s="62" t="str">
        <x:v>figshare_28033772_v1</x:v>
      </x:c>
      <x:c r="E12" s="62" t="str">
        <x:v>X</x:v>
      </x:c>
      <x:c r="F12" s="62" t="str">
        <x:v>2023</x:v>
      </x:c>
      <x:c r="G12" s="62" t="str">
        <x:v>aggregate_feed_comparison</x:v>
      </x:c>
      <x:c r="H12" s="69" t="str">
        <x:v>The 2023 matched feeds had a source-share increment relative to the followed baseline</x:v>
      </x:c>
      <x:c r="I12" s="69" t="str">
        <x:v>Paired 2023 feeds show an aggregate conservative-relative source-share shift; public rows anonymize accounts.</x:v>
      </x:c>
      <x:c r="J12" s="69" t="str">
        <x:v>sources/local_reports/matched_feed_2023_heterogeneity_report.md</x:v>
      </x:c>
      <x:c r="K12" s="69" t="str">
        <x:v>Executive summary and participant-level decomposition</x:v>
      </x:c>
      <x:c r="L12" s="62" t="str">
        <x:v>eca867cf8b9a2f7d0354c125bb050b7a28f7f7e4393152de79b5c855e2003142</x:v>
      </x:c>
      <x:c r="M12" s="69" t="str">
        <x:v>Local report file bytes at case assembly</x:v>
      </x:c>
      <x:c r="N12" s="72" t="str"/>
      <x:c r="O12" s="72" t="str"/>
      <x:c r="P12" s="63" t="str"/>
      <x:c r="Q12" s="64" t="str"/>
    </x:row>
    <x:row r="13" ht="45" customHeight="1">
      <x:c r="A13" s="62" t="str">
        <x:v>feed_shift_only:coordination</x:v>
      </x:c>
      <x:c r="B13" s="62" t="str">
        <x:v>feed_shift_only</x:v>
      </x:c>
      <x:c r="C13" s="62" t="str">
        <x:v>coordination</x:v>
      </x:c>
      <x:c r="D13" s="62" t="str">
        <x:v>figshare_28033772_v1</x:v>
      </x:c>
      <x:c r="E13" s="62" t="str">
        <x:v>X</x:v>
      </x:c>
      <x:c r="F13" s="62" t="str">
        <x:v>2023</x:v>
      </x:c>
      <x:c r="G13" s="62" t="str">
        <x:v>aggregate_feed_comparison</x:v>
      </x:c>
      <x:c r="H13" s="69" t="str">
        <x:v>The 2023 matched feeds had a source-share increment relative to the followed baseline</x:v>
      </x:c>
      <x:c r="I13" s="69" t="str">
        <x:v>Paired 2023 feeds show an aggregate conservative-relative source-share shift; public rows anonymize accounts.</x:v>
      </x:c>
      <x:c r="J13" s="69" t="str">
        <x:v>sources/local_reports/matched_feed_2023_heterogeneity_report.md</x:v>
      </x:c>
      <x:c r="K13" s="69" t="str">
        <x:v>Executive summary and participant-level decomposition</x:v>
      </x:c>
      <x:c r="L13" s="62" t="str">
        <x:v>eca867cf8b9a2f7d0354c125bb050b7a28f7f7e4393152de79b5c855e2003142</x:v>
      </x:c>
      <x:c r="M13" s="69" t="str">
        <x:v>Local report file bytes at case assembly</x:v>
      </x:c>
      <x:c r="N13" s="72" t="str"/>
      <x:c r="O13" s="72" t="str"/>
      <x:c r="P13" s="63" t="str"/>
      <x:c r="Q13" s="64" t="str"/>
    </x:row>
    <x:row r="14" ht="45" customHeight="1">
      <x:c r="A14" s="62" t="str">
        <x:v>feed_shift_only:deception</x:v>
      </x:c>
      <x:c r="B14" s="62" t="str">
        <x:v>feed_shift_only</x:v>
      </x:c>
      <x:c r="C14" s="62" t="str">
        <x:v>deception</x:v>
      </x:c>
      <x:c r="D14" s="62" t="str">
        <x:v>figshare_28033772_v1</x:v>
      </x:c>
      <x:c r="E14" s="62" t="str">
        <x:v>X</x:v>
      </x:c>
      <x:c r="F14" s="62" t="str">
        <x:v>2023</x:v>
      </x:c>
      <x:c r="G14" s="62" t="str">
        <x:v>aggregate_feed_comparison</x:v>
      </x:c>
      <x:c r="H14" s="69" t="str">
        <x:v>The 2023 matched feeds had a source-share increment relative to the followed baseline</x:v>
      </x:c>
      <x:c r="I14" s="69" t="str">
        <x:v>Paired 2023 feeds show an aggregate conservative-relative source-share shift; public rows anonymize accounts.</x:v>
      </x:c>
      <x:c r="J14" s="69" t="str">
        <x:v>sources/local_reports/matched_feed_2023_heterogeneity_report.md</x:v>
      </x:c>
      <x:c r="K14" s="69" t="str">
        <x:v>Executive summary and participant-level decomposition</x:v>
      </x:c>
      <x:c r="L14" s="62" t="str">
        <x:v>eca867cf8b9a2f7d0354c125bb050b7a28f7f7e4393152de79b5c855e2003142</x:v>
      </x:c>
      <x:c r="M14" s="69" t="str">
        <x:v>Local report file bytes at case assembly</x:v>
      </x:c>
      <x:c r="N14" s="72" t="str"/>
      <x:c r="O14" s="72" t="str"/>
      <x:c r="P14" s="63" t="str"/>
      <x:c r="Q14" s="64" t="str"/>
    </x:row>
    <x:row r="15" ht="45" customHeight="1">
      <x:c r="A15" s="62" t="str">
        <x:v>feed_shift_only:exposure</x:v>
      </x:c>
      <x:c r="B15" s="62" t="str">
        <x:v>feed_shift_only</x:v>
      </x:c>
      <x:c r="C15" s="62" t="str">
        <x:v>exposure</x:v>
      </x:c>
      <x:c r="D15" s="62" t="str">
        <x:v>figshare_28033772_v1</x:v>
      </x:c>
      <x:c r="E15" s="62" t="str">
        <x:v>X</x:v>
      </x:c>
      <x:c r="F15" s="62" t="str">
        <x:v>2023</x:v>
      </x:c>
      <x:c r="G15" s="62" t="str">
        <x:v>aggregate_feed_comparison</x:v>
      </x:c>
      <x:c r="H15" s="69" t="str">
        <x:v>The 2023 matched feeds had a source-share increment relative to the followed baseline</x:v>
      </x:c>
      <x:c r="I15" s="69" t="str">
        <x:v>Paired 2023 feeds show an aggregate conservative-relative source-share shift; public rows anonymize accounts.</x:v>
      </x:c>
      <x:c r="J15" s="69" t="str">
        <x:v>sources/local_reports/matched_feed_2023_heterogeneity_report.md</x:v>
      </x:c>
      <x:c r="K15" s="69" t="str">
        <x:v>Executive summary and participant-level decomposition</x:v>
      </x:c>
      <x:c r="L15" s="62" t="str">
        <x:v>eca867cf8b9a2f7d0354c125bb050b7a28f7f7e4393152de79b5c855e2003142</x:v>
      </x:c>
      <x:c r="M15" s="69" t="str">
        <x:v>Local report file bytes at case assembly</x:v>
      </x:c>
      <x:c r="N15" s="72" t="str"/>
      <x:c r="O15" s="72" t="str"/>
      <x:c r="P15" s="63" t="str"/>
      <x:c r="Q15" s="64" t="str"/>
    </x:row>
    <x:row r="16" ht="45" customHeight="1">
      <x:c r="A16" s="62" t="str">
        <x:v>feed_shift_only:recommendation</x:v>
      </x:c>
      <x:c r="B16" s="62" t="str">
        <x:v>feed_shift_only</x:v>
      </x:c>
      <x:c r="C16" s="62" t="str">
        <x:v>recommendation</x:v>
      </x:c>
      <x:c r="D16" s="62" t="str">
        <x:v>figshare_28033772_v1</x:v>
      </x:c>
      <x:c r="E16" s="62" t="str">
        <x:v>X</x:v>
      </x:c>
      <x:c r="F16" s="62" t="str">
        <x:v>2023</x:v>
      </x:c>
      <x:c r="G16" s="62" t="str">
        <x:v>aggregate_feed_comparison</x:v>
      </x:c>
      <x:c r="H16" s="69" t="str">
        <x:v>The 2023 matched feeds had a source-share increment relative to the followed baseline</x:v>
      </x:c>
      <x:c r="I16" s="69" t="str">
        <x:v>Paired 2023 feeds show an aggregate conservative-relative source-share shift; public rows anonymize accounts.</x:v>
      </x:c>
      <x:c r="J16" s="69" t="str">
        <x:v>sources/local_reports/matched_feed_2023_heterogeneity_report.md</x:v>
      </x:c>
      <x:c r="K16" s="69" t="str">
        <x:v>Executive summary and participant-level decomposition</x:v>
      </x:c>
      <x:c r="L16" s="62" t="str">
        <x:v>eca867cf8b9a2f7d0354c125bb050b7a28f7f7e4393152de79b5c855e2003142</x:v>
      </x:c>
      <x:c r="M16" s="69" t="str">
        <x:v>Local report file bytes at case assembly</x:v>
      </x:c>
      <x:c r="N16" s="72" t="str"/>
      <x:c r="O16" s="72" t="str"/>
      <x:c r="P16" s="63" t="str"/>
      <x:c r="Q16" s="64" t="str"/>
    </x:row>
    <x:row r="17" ht="45" customHeight="1">
      <x:c r="A17" s="62" t="str">
        <x:v>feed_shift_only:impact</x:v>
      </x:c>
      <x:c r="B17" s="62" t="str">
        <x:v>feed_shift_only</x:v>
      </x:c>
      <x:c r="C17" s="62" t="str">
        <x:v>impact</x:v>
      </x:c>
      <x:c r="D17" s="62" t="str">
        <x:v>figshare_28033772_v1</x:v>
      </x:c>
      <x:c r="E17" s="62" t="str">
        <x:v>X</x:v>
      </x:c>
      <x:c r="F17" s="62" t="str">
        <x:v>2023</x:v>
      </x:c>
      <x:c r="G17" s="62" t="str">
        <x:v>aggregate_feed_comparison</x:v>
      </x:c>
      <x:c r="H17" s="69" t="str">
        <x:v>The 2023 matched feeds had a source-share increment relative to the followed baseline</x:v>
      </x:c>
      <x:c r="I17" s="69" t="str">
        <x:v>Paired 2023 feeds show an aggregate conservative-relative source-share shift; public rows anonymize accounts.</x:v>
      </x:c>
      <x:c r="J17" s="69" t="str">
        <x:v>sources/local_reports/matched_feed_2023_heterogeneity_report.md</x:v>
      </x:c>
      <x:c r="K17" s="69" t="str">
        <x:v>Executive summary and participant-level decomposition</x:v>
      </x:c>
      <x:c r="L17" s="62" t="str">
        <x:v>eca867cf8b9a2f7d0354c125bb050b7a28f7f7e4393152de79b5c855e2003142</x:v>
      </x:c>
      <x:c r="M17" s="69" t="str">
        <x:v>Local report file bytes at case assembly</x:v>
      </x:c>
      <x:c r="N17" s="72" t="str"/>
      <x:c r="O17" s="72" t="str"/>
      <x:c r="P17" s="63" t="str"/>
      <x:c r="Q17" s="64" t="str"/>
    </x:row>
    <x:row r="18" ht="45" customHeight="1">
      <x:c r="A18" s="62" t="str">
        <x:v>anonymous_news_source:origin</x:v>
      </x:c>
      <x:c r="B18" s="62" t="str">
        <x:v>anonymous_news_source</x:v>
      </x:c>
      <x:c r="C18" s="62" t="str">
        <x:v>origin</x:v>
      </x:c>
      <x:c r="D18" s="62" t="str">
        <x:v>figshare_28033772_v1</x:v>
      </x:c>
      <x:c r="E18" s="62" t="str">
        <x:v>X</x:v>
      </x:c>
      <x:c r="F18" s="62" t="str">
        <x:v>2023</x:v>
      </x:c>
      <x:c r="G18" s="62" t="str">
        <x:v>source_category_aggregate</x:v>
      </x:c>
      <x:c r="H18" s="69" t="str">
        <x:v>Unmatched anonymous News sources contributed to the matched-feed shift and were foreign operators</x:v>
      </x:c>
      <x:c r="I18" s="69" t="str">
        <x:v>An unmatched anonymous News-account category contributes to the aggregate feed shift; unmatched means absent from an external outlet lookup.</x:v>
      </x:c>
      <x:c r="J18" s="69" t="str">
        <x:v>sources/local_reports/matched_feed_2023_heterogeneity_report.md</x:v>
      </x:c>
      <x:c r="K18" s="69" t="str">
        <x:v>News matching category table and explanatory paragraph (lines 48-54 at capture)</x:v>
      </x:c>
      <x:c r="L18" s="62" t="str">
        <x:v>eca867cf8b9a2f7d0354c125bb050b7a28f7f7e4393152de79b5c855e2003142</x:v>
      </x:c>
      <x:c r="M18" s="69" t="str">
        <x:v>Local report file bytes at case assembly</x:v>
      </x:c>
      <x:c r="N18" s="72" t="str"/>
      <x:c r="O18" s="72" t="str"/>
      <x:c r="P18" s="63" t="str"/>
      <x:c r="Q18" s="64" t="str"/>
    </x:row>
    <x:row r="19" ht="45" customHeight="1">
      <x:c r="A19" s="62" t="str">
        <x:v>anonymous_news_source:operation_attribution</x:v>
      </x:c>
      <x:c r="B19" s="62" t="str">
        <x:v>anonymous_news_source</x:v>
      </x:c>
      <x:c r="C19" s="62" t="str">
        <x:v>operation_attribution</x:v>
      </x:c>
      <x:c r="D19" s="62" t="str">
        <x:v>figshare_28033772_v1</x:v>
      </x:c>
      <x:c r="E19" s="62" t="str">
        <x:v>X</x:v>
      </x:c>
      <x:c r="F19" s="62" t="str">
        <x:v>2023</x:v>
      </x:c>
      <x:c r="G19" s="62" t="str">
        <x:v>source_category_aggregate</x:v>
      </x:c>
      <x:c r="H19" s="69" t="str">
        <x:v>Unmatched anonymous News sources contributed to the matched-feed shift and were foreign operators</x:v>
      </x:c>
      <x:c r="I19" s="69" t="str">
        <x:v>An unmatched anonymous News-account category contributes to the aggregate feed shift; unmatched means absent from an external outlet lookup.</x:v>
      </x:c>
      <x:c r="J19" s="69" t="str">
        <x:v>sources/local_reports/matched_feed_2023_heterogeneity_report.md</x:v>
      </x:c>
      <x:c r="K19" s="69" t="str">
        <x:v>News matching category table and explanatory paragraph (lines 48-54 at capture)</x:v>
      </x:c>
      <x:c r="L19" s="62" t="str">
        <x:v>eca867cf8b9a2f7d0354c125bb050b7a28f7f7e4393152de79b5c855e2003142</x:v>
      </x:c>
      <x:c r="M19" s="69" t="str">
        <x:v>Local report file bytes at case assembly</x:v>
      </x:c>
      <x:c r="N19" s="72" t="str"/>
      <x:c r="O19" s="72" t="str"/>
      <x:c r="P19" s="63" t="str"/>
      <x:c r="Q19" s="64" t="str"/>
    </x:row>
    <x:row r="20" ht="45" customHeight="1">
      <x:c r="A20" s="62" t="str">
        <x:v>anonymous_news_source:automation</x:v>
      </x:c>
      <x:c r="B20" s="62" t="str">
        <x:v>anonymous_news_source</x:v>
      </x:c>
      <x:c r="C20" s="62" t="str">
        <x:v>automation</x:v>
      </x:c>
      <x:c r="D20" s="62" t="str">
        <x:v>figshare_28033772_v1</x:v>
      </x:c>
      <x:c r="E20" s="62" t="str">
        <x:v>X</x:v>
      </x:c>
      <x:c r="F20" s="62" t="str">
        <x:v>2023</x:v>
      </x:c>
      <x:c r="G20" s="62" t="str">
        <x:v>source_category_aggregate</x:v>
      </x:c>
      <x:c r="H20" s="69" t="str">
        <x:v>Unmatched anonymous News sources contributed to the matched-feed shift and were foreign operators</x:v>
      </x:c>
      <x:c r="I20" s="69" t="str">
        <x:v>An unmatched anonymous News-account category contributes to the aggregate feed shift; unmatched means absent from an external outlet lookup.</x:v>
      </x:c>
      <x:c r="J20" s="69" t="str">
        <x:v>sources/local_reports/matched_feed_2023_heterogeneity_report.md</x:v>
      </x:c>
      <x:c r="K20" s="69" t="str">
        <x:v>News matching category table and explanatory paragraph (lines 48-54 at capture)</x:v>
      </x:c>
      <x:c r="L20" s="62" t="str">
        <x:v>eca867cf8b9a2f7d0354c125bb050b7a28f7f7e4393152de79b5c855e2003142</x:v>
      </x:c>
      <x:c r="M20" s="69" t="str">
        <x:v>Local report file bytes at case assembly</x:v>
      </x:c>
      <x:c r="N20" s="72" t="str"/>
      <x:c r="O20" s="72" t="str"/>
      <x:c r="P20" s="63" t="str"/>
      <x:c r="Q20" s="64" t="str"/>
    </x:row>
    <x:row r="21" ht="45" customHeight="1">
      <x:c r="A21" s="62" t="str">
        <x:v>anonymous_news_source:coordination</x:v>
      </x:c>
      <x:c r="B21" s="62" t="str">
        <x:v>anonymous_news_source</x:v>
      </x:c>
      <x:c r="C21" s="62" t="str">
        <x:v>coordination</x:v>
      </x:c>
      <x:c r="D21" s="62" t="str">
        <x:v>figshare_28033772_v1</x:v>
      </x:c>
      <x:c r="E21" s="62" t="str">
        <x:v>X</x:v>
      </x:c>
      <x:c r="F21" s="62" t="str">
        <x:v>2023</x:v>
      </x:c>
      <x:c r="G21" s="62" t="str">
        <x:v>source_category_aggregate</x:v>
      </x:c>
      <x:c r="H21" s="69" t="str">
        <x:v>Unmatched anonymous News sources contributed to the matched-feed shift and were foreign operators</x:v>
      </x:c>
      <x:c r="I21" s="69" t="str">
        <x:v>An unmatched anonymous News-account category contributes to the aggregate feed shift; unmatched means absent from an external outlet lookup.</x:v>
      </x:c>
      <x:c r="J21" s="69" t="str">
        <x:v>sources/local_reports/matched_feed_2023_heterogeneity_report.md</x:v>
      </x:c>
      <x:c r="K21" s="69" t="str">
        <x:v>News matching category table and explanatory paragraph (lines 48-54 at capture)</x:v>
      </x:c>
      <x:c r="L21" s="62" t="str">
        <x:v>eca867cf8b9a2f7d0354c125bb050b7a28f7f7e4393152de79b5c855e2003142</x:v>
      </x:c>
      <x:c r="M21" s="69" t="str">
        <x:v>Local report file bytes at case assembly</x:v>
      </x:c>
      <x:c r="N21" s="72" t="str"/>
      <x:c r="O21" s="72" t="str"/>
      <x:c r="P21" s="63" t="str"/>
      <x:c r="Q21" s="64" t="str"/>
    </x:row>
    <x:row r="22" ht="45" customHeight="1">
      <x:c r="A22" s="62" t="str">
        <x:v>anonymous_news_source:deception</x:v>
      </x:c>
      <x:c r="B22" s="62" t="str">
        <x:v>anonymous_news_source</x:v>
      </x:c>
      <x:c r="C22" s="62" t="str">
        <x:v>deception</x:v>
      </x:c>
      <x:c r="D22" s="62" t="str">
        <x:v>figshare_28033772_v1</x:v>
      </x:c>
      <x:c r="E22" s="62" t="str">
        <x:v>X</x:v>
      </x:c>
      <x:c r="F22" s="62" t="str">
        <x:v>2023</x:v>
      </x:c>
      <x:c r="G22" s="62" t="str">
        <x:v>source_category_aggregate</x:v>
      </x:c>
      <x:c r="H22" s="69" t="str">
        <x:v>Unmatched anonymous News sources contributed to the matched-feed shift and were foreign operators</x:v>
      </x:c>
      <x:c r="I22" s="69" t="str">
        <x:v>An unmatched anonymous News-account category contributes to the aggregate feed shift; unmatched means absent from an external outlet lookup.</x:v>
      </x:c>
      <x:c r="J22" s="69" t="str">
        <x:v>sources/local_reports/matched_feed_2023_heterogeneity_report.md</x:v>
      </x:c>
      <x:c r="K22" s="69" t="str">
        <x:v>News matching category table and explanatory paragraph (lines 48-54 at capture)</x:v>
      </x:c>
      <x:c r="L22" s="62" t="str">
        <x:v>eca867cf8b9a2f7d0354c125bb050b7a28f7f7e4393152de79b5c855e2003142</x:v>
      </x:c>
      <x:c r="M22" s="69" t="str">
        <x:v>Local report file bytes at case assembly</x:v>
      </x:c>
      <x:c r="N22" s="72" t="str"/>
      <x:c r="O22" s="72" t="str"/>
      <x:c r="P22" s="63" t="str"/>
      <x:c r="Q22" s="64" t="str"/>
    </x:row>
    <x:row r="23" ht="45" customHeight="1">
      <x:c r="A23" s="62" t="str">
        <x:v>anonymous_news_source:exposure</x:v>
      </x:c>
      <x:c r="B23" s="62" t="str">
        <x:v>anonymous_news_source</x:v>
      </x:c>
      <x:c r="C23" s="62" t="str">
        <x:v>exposure</x:v>
      </x:c>
      <x:c r="D23" s="62" t="str">
        <x:v>figshare_28033772_v1</x:v>
      </x:c>
      <x:c r="E23" s="62" t="str">
        <x:v>X</x:v>
      </x:c>
      <x:c r="F23" s="62" t="str">
        <x:v>2023</x:v>
      </x:c>
      <x:c r="G23" s="62" t="str">
        <x:v>source_category_aggregate</x:v>
      </x:c>
      <x:c r="H23" s="69" t="str">
        <x:v>Unmatched anonymous News sources contributed to the matched-feed shift and were foreign operators</x:v>
      </x:c>
      <x:c r="I23" s="69" t="str">
        <x:v>An unmatched anonymous News-account category contributes to the aggregate feed shift; unmatched means absent from an external outlet lookup.</x:v>
      </x:c>
      <x:c r="J23" s="69" t="str">
        <x:v>sources/local_reports/matched_feed_2023_heterogeneity_report.md</x:v>
      </x:c>
      <x:c r="K23" s="69" t="str">
        <x:v>News matching category table and explanatory paragraph (lines 48-54 at capture)</x:v>
      </x:c>
      <x:c r="L23" s="62" t="str">
        <x:v>eca867cf8b9a2f7d0354c125bb050b7a28f7f7e4393152de79b5c855e2003142</x:v>
      </x:c>
      <x:c r="M23" s="69" t="str">
        <x:v>Local report file bytes at case assembly</x:v>
      </x:c>
      <x:c r="N23" s="72" t="str"/>
      <x:c r="O23" s="72" t="str"/>
      <x:c r="P23" s="63" t="str"/>
      <x:c r="Q23" s="64" t="str"/>
    </x:row>
    <x:row r="24" ht="45" customHeight="1">
      <x:c r="A24" s="62" t="str">
        <x:v>anonymous_news_source:recommendation</x:v>
      </x:c>
      <x:c r="B24" s="62" t="str">
        <x:v>anonymous_news_source</x:v>
      </x:c>
      <x:c r="C24" s="62" t="str">
        <x:v>recommendation</x:v>
      </x:c>
      <x:c r="D24" s="62" t="str">
        <x:v>figshare_28033772_v1</x:v>
      </x:c>
      <x:c r="E24" s="62" t="str">
        <x:v>X</x:v>
      </x:c>
      <x:c r="F24" s="62" t="str">
        <x:v>2023</x:v>
      </x:c>
      <x:c r="G24" s="62" t="str">
        <x:v>source_category_aggregate</x:v>
      </x:c>
      <x:c r="H24" s="69" t="str">
        <x:v>Unmatched anonymous News sources contributed to the matched-feed shift and were foreign operators</x:v>
      </x:c>
      <x:c r="I24" s="69" t="str">
        <x:v>An unmatched anonymous News-account category contributes to the aggregate feed shift; unmatched means absent from an external outlet lookup.</x:v>
      </x:c>
      <x:c r="J24" s="69" t="str">
        <x:v>sources/local_reports/matched_feed_2023_heterogeneity_report.md</x:v>
      </x:c>
      <x:c r="K24" s="69" t="str">
        <x:v>News matching category table and explanatory paragraph (lines 48-54 at capture)</x:v>
      </x:c>
      <x:c r="L24" s="62" t="str">
        <x:v>eca867cf8b9a2f7d0354c125bb050b7a28f7f7e4393152de79b5c855e2003142</x:v>
      </x:c>
      <x:c r="M24" s="69" t="str">
        <x:v>Local report file bytes at case assembly</x:v>
      </x:c>
      <x:c r="N24" s="72" t="str"/>
      <x:c r="O24" s="72" t="str"/>
      <x:c r="P24" s="63" t="str"/>
      <x:c r="Q24" s="64" t="str"/>
    </x:row>
    <x:row r="25" ht="45" customHeight="1">
      <x:c r="A25" s="62" t="str">
        <x:v>anonymous_news_source:impact</x:v>
      </x:c>
      <x:c r="B25" s="62" t="str">
        <x:v>anonymous_news_source</x:v>
      </x:c>
      <x:c r="C25" s="62" t="str">
        <x:v>impact</x:v>
      </x:c>
      <x:c r="D25" s="62" t="str">
        <x:v>figshare_28033772_v1</x:v>
      </x:c>
      <x:c r="E25" s="62" t="str">
        <x:v>X</x:v>
      </x:c>
      <x:c r="F25" s="62" t="str">
        <x:v>2023</x:v>
      </x:c>
      <x:c r="G25" s="62" t="str">
        <x:v>source_category_aggregate</x:v>
      </x:c>
      <x:c r="H25" s="69" t="str">
        <x:v>Unmatched anonymous News sources contributed to the matched-feed shift and were foreign operators</x:v>
      </x:c>
      <x:c r="I25" s="69" t="str">
        <x:v>An unmatched anonymous News-account category contributes to the aggregate feed shift; unmatched means absent from an external outlet lookup.</x:v>
      </x:c>
      <x:c r="J25" s="69" t="str">
        <x:v>sources/local_reports/matched_feed_2023_heterogeneity_report.md</x:v>
      </x:c>
      <x:c r="K25" s="69" t="str">
        <x:v>News matching category table and explanatory paragraph (lines 48-54 at capture)</x:v>
      </x:c>
      <x:c r="L25" s="62" t="str">
        <x:v>eca867cf8b9a2f7d0354c125bb050b7a28f7f7e4393152de79b5c855e2003142</x:v>
      </x:c>
      <x:c r="M25" s="69" t="str">
        <x:v>Local report file bytes at case assembly</x:v>
      </x:c>
      <x:c r="N25" s="72" t="str"/>
      <x:c r="O25" s="72" t="str"/>
      <x:c r="P25" s="63" t="str"/>
      <x:c r="Q25" s="64" t="str"/>
    </x:row>
    <x:row r="26" ht="45" customHeight="1">
      <x:c r="A26" s="62" t="str">
        <x:v>values_misalignment_only:origin</x:v>
      </x:c>
      <x:c r="B26" s="62" t="str">
        <x:v>values_misalignment_only</x:v>
      </x:c>
      <x:c r="C26" s="62" t="str">
        <x:v>origin</x:v>
      </x:c>
      <x:c r="D26" s="62" t="str">
        <x:v>pnas_2610388123</x:v>
      </x:c>
      <x:c r="E26" s="62" t="str">
        <x:v>X</x:v>
      </x:c>
      <x:c r="F26" s="62" t="str">
        <x:v>2024</x:v>
      </x:c>
      <x:c r="G26" s="62" t="str">
        <x:v>aggregate_feed_comparison</x:v>
      </x:c>
      <x:c r="H26" s="69" t="str">
        <x:v>The 2024 matched feeds selected content with lower value alignment than the followed inventory</x:v>
      </x:c>
      <x:c r="I26" s="69" t="str">
        <x:v>The 2024 matched-feed study reports aggregate value misalignment for selected content; it does not identify foreign or automated accounts.</x:v>
      </x:c>
      <x:c r="J26" s="69" t="str">
        <x:v>sources/local_reports/matched_feed_2024_synthesis_report.md</x:v>
      </x:c>
      <x:c r="K26" s="69" t="str">
        <x:v>2024 value-selection pattern; opening summary</x:v>
      </x:c>
      <x:c r="L26" s="62" t="str">
        <x:v>a787850800b7319946e55c99c05f700fad42ce48e411f3e92b84505fdb37f1a7</x:v>
      </x:c>
      <x:c r="M26" s="69" t="str">
        <x:v>Local report file bytes at case assembly</x:v>
      </x:c>
      <x:c r="N26" s="72" t="str"/>
      <x:c r="O26" s="72" t="str"/>
      <x:c r="P26" s="63" t="str"/>
      <x:c r="Q26" s="64" t="str"/>
    </x:row>
    <x:row r="27" ht="45" customHeight="1">
      <x:c r="A27" s="62" t="str">
        <x:v>values_misalignment_only:operation_attribution</x:v>
      </x:c>
      <x:c r="B27" s="62" t="str">
        <x:v>values_misalignment_only</x:v>
      </x:c>
      <x:c r="C27" s="62" t="str">
        <x:v>operation_attribution</x:v>
      </x:c>
      <x:c r="D27" s="62" t="str">
        <x:v>pnas_2610388123</x:v>
      </x:c>
      <x:c r="E27" s="62" t="str">
        <x:v>X</x:v>
      </x:c>
      <x:c r="F27" s="62" t="str">
        <x:v>2024</x:v>
      </x:c>
      <x:c r="G27" s="62" t="str">
        <x:v>aggregate_feed_comparison</x:v>
      </x:c>
      <x:c r="H27" s="69" t="str">
        <x:v>The 2024 matched feeds selected content with lower value alignment than the followed inventory</x:v>
      </x:c>
      <x:c r="I27" s="69" t="str">
        <x:v>The 2024 matched-feed study reports aggregate value misalignment for selected content; it does not identify foreign or automated accounts.</x:v>
      </x:c>
      <x:c r="J27" s="69" t="str">
        <x:v>sources/local_reports/matched_feed_2024_synthesis_report.md</x:v>
      </x:c>
      <x:c r="K27" s="69" t="str">
        <x:v>2024 value-selection pattern; opening summary</x:v>
      </x:c>
      <x:c r="L27" s="62" t="str">
        <x:v>a787850800b7319946e55c99c05f700fad42ce48e411f3e92b84505fdb37f1a7</x:v>
      </x:c>
      <x:c r="M27" s="69" t="str">
        <x:v>Local report file bytes at case assembly</x:v>
      </x:c>
      <x:c r="N27" s="72" t="str"/>
      <x:c r="O27" s="72" t="str"/>
      <x:c r="P27" s="63" t="str"/>
      <x:c r="Q27" s="64" t="str"/>
    </x:row>
    <x:row r="28" ht="45" customHeight="1">
      <x:c r="A28" s="62" t="str">
        <x:v>values_misalignment_only:automation</x:v>
      </x:c>
      <x:c r="B28" s="62" t="str">
        <x:v>values_misalignment_only</x:v>
      </x:c>
      <x:c r="C28" s="62" t="str">
        <x:v>automation</x:v>
      </x:c>
      <x:c r="D28" s="62" t="str">
        <x:v>pnas_2610388123</x:v>
      </x:c>
      <x:c r="E28" s="62" t="str">
        <x:v>X</x:v>
      </x:c>
      <x:c r="F28" s="62" t="str">
        <x:v>2024</x:v>
      </x:c>
      <x:c r="G28" s="62" t="str">
        <x:v>aggregate_feed_comparison</x:v>
      </x:c>
      <x:c r="H28" s="69" t="str">
        <x:v>The 2024 matched feeds selected content with lower value alignment than the followed inventory</x:v>
      </x:c>
      <x:c r="I28" s="69" t="str">
        <x:v>The 2024 matched-feed study reports aggregate value misalignment for selected content; it does not identify foreign or automated accounts.</x:v>
      </x:c>
      <x:c r="J28" s="69" t="str">
        <x:v>sources/local_reports/matched_feed_2024_synthesis_report.md</x:v>
      </x:c>
      <x:c r="K28" s="69" t="str">
        <x:v>2024 value-selection pattern; opening summary</x:v>
      </x:c>
      <x:c r="L28" s="62" t="str">
        <x:v>a787850800b7319946e55c99c05f700fad42ce48e411f3e92b84505fdb37f1a7</x:v>
      </x:c>
      <x:c r="M28" s="69" t="str">
        <x:v>Local report file bytes at case assembly</x:v>
      </x:c>
      <x:c r="N28" s="72" t="str"/>
      <x:c r="O28" s="72" t="str"/>
      <x:c r="P28" s="63" t="str"/>
      <x:c r="Q28" s="64" t="str"/>
    </x:row>
    <x:row r="29" ht="45" customHeight="1">
      <x:c r="A29" s="62" t="str">
        <x:v>values_misalignment_only:coordination</x:v>
      </x:c>
      <x:c r="B29" s="62" t="str">
        <x:v>values_misalignment_only</x:v>
      </x:c>
      <x:c r="C29" s="62" t="str">
        <x:v>coordination</x:v>
      </x:c>
      <x:c r="D29" s="62" t="str">
        <x:v>pnas_2610388123</x:v>
      </x:c>
      <x:c r="E29" s="62" t="str">
        <x:v>X</x:v>
      </x:c>
      <x:c r="F29" s="62" t="str">
        <x:v>2024</x:v>
      </x:c>
      <x:c r="G29" s="62" t="str">
        <x:v>aggregate_feed_comparison</x:v>
      </x:c>
      <x:c r="H29" s="69" t="str">
        <x:v>The 2024 matched feeds selected content with lower value alignment than the followed inventory</x:v>
      </x:c>
      <x:c r="I29" s="69" t="str">
        <x:v>The 2024 matched-feed study reports aggregate value misalignment for selected content; it does not identify foreign or automated accounts.</x:v>
      </x:c>
      <x:c r="J29" s="69" t="str">
        <x:v>sources/local_reports/matched_feed_2024_synthesis_report.md</x:v>
      </x:c>
      <x:c r="K29" s="69" t="str">
        <x:v>2024 value-selection pattern; opening summary</x:v>
      </x:c>
      <x:c r="L29" s="62" t="str">
        <x:v>a787850800b7319946e55c99c05f700fad42ce48e411f3e92b84505fdb37f1a7</x:v>
      </x:c>
      <x:c r="M29" s="69" t="str">
        <x:v>Local report file bytes at case assembly</x:v>
      </x:c>
      <x:c r="N29" s="72" t="str"/>
      <x:c r="O29" s="72" t="str"/>
      <x:c r="P29" s="63" t="str"/>
      <x:c r="Q29" s="64" t="str"/>
    </x:row>
    <x:row r="30" ht="45" customHeight="1">
      <x:c r="A30" s="62" t="str">
        <x:v>values_misalignment_only:deception</x:v>
      </x:c>
      <x:c r="B30" s="62" t="str">
        <x:v>values_misalignment_only</x:v>
      </x:c>
      <x:c r="C30" s="62" t="str">
        <x:v>deception</x:v>
      </x:c>
      <x:c r="D30" s="62" t="str">
        <x:v>pnas_2610388123</x:v>
      </x:c>
      <x:c r="E30" s="62" t="str">
        <x:v>X</x:v>
      </x:c>
      <x:c r="F30" s="62" t="str">
        <x:v>2024</x:v>
      </x:c>
      <x:c r="G30" s="62" t="str">
        <x:v>aggregate_feed_comparison</x:v>
      </x:c>
      <x:c r="H30" s="69" t="str">
        <x:v>The 2024 matched feeds selected content with lower value alignment than the followed inventory</x:v>
      </x:c>
      <x:c r="I30" s="69" t="str">
        <x:v>The 2024 matched-feed study reports aggregate value misalignment for selected content; it does not identify foreign or automated accounts.</x:v>
      </x:c>
      <x:c r="J30" s="69" t="str">
        <x:v>sources/local_reports/matched_feed_2024_synthesis_report.md</x:v>
      </x:c>
      <x:c r="K30" s="69" t="str">
        <x:v>2024 value-selection pattern; opening summary</x:v>
      </x:c>
      <x:c r="L30" s="62" t="str">
        <x:v>a787850800b7319946e55c99c05f700fad42ce48e411f3e92b84505fdb37f1a7</x:v>
      </x:c>
      <x:c r="M30" s="69" t="str">
        <x:v>Local report file bytes at case assembly</x:v>
      </x:c>
      <x:c r="N30" s="72" t="str"/>
      <x:c r="O30" s="72" t="str"/>
      <x:c r="P30" s="63" t="str"/>
      <x:c r="Q30" s="64" t="str"/>
    </x:row>
    <x:row r="31" ht="45" customHeight="1">
      <x:c r="A31" s="62" t="str">
        <x:v>values_misalignment_only:exposure</x:v>
      </x:c>
      <x:c r="B31" s="62" t="str">
        <x:v>values_misalignment_only</x:v>
      </x:c>
      <x:c r="C31" s="62" t="str">
        <x:v>exposure</x:v>
      </x:c>
      <x:c r="D31" s="62" t="str">
        <x:v>pnas_2610388123</x:v>
      </x:c>
      <x:c r="E31" s="62" t="str">
        <x:v>X</x:v>
      </x:c>
      <x:c r="F31" s="62" t="str">
        <x:v>2024</x:v>
      </x:c>
      <x:c r="G31" s="62" t="str">
        <x:v>aggregate_feed_comparison</x:v>
      </x:c>
      <x:c r="H31" s="69" t="str">
        <x:v>The 2024 matched feeds selected content with lower value alignment than the followed inventory</x:v>
      </x:c>
      <x:c r="I31" s="69" t="str">
        <x:v>The 2024 matched-feed study reports aggregate value misalignment for selected content; it does not identify foreign or automated accounts.</x:v>
      </x:c>
      <x:c r="J31" s="69" t="str">
        <x:v>sources/local_reports/matched_feed_2024_synthesis_report.md</x:v>
      </x:c>
      <x:c r="K31" s="69" t="str">
        <x:v>2024 value-selection pattern; opening summary</x:v>
      </x:c>
      <x:c r="L31" s="62" t="str">
        <x:v>a787850800b7319946e55c99c05f700fad42ce48e411f3e92b84505fdb37f1a7</x:v>
      </x:c>
      <x:c r="M31" s="69" t="str">
        <x:v>Local report file bytes at case assembly</x:v>
      </x:c>
      <x:c r="N31" s="72" t="str"/>
      <x:c r="O31" s="72" t="str"/>
      <x:c r="P31" s="63" t="str"/>
      <x:c r="Q31" s="64" t="str"/>
    </x:row>
    <x:row r="32" ht="45" customHeight="1">
      <x:c r="A32" s="62" t="str">
        <x:v>values_misalignment_only:recommendation</x:v>
      </x:c>
      <x:c r="B32" s="62" t="str">
        <x:v>values_misalignment_only</x:v>
      </x:c>
      <x:c r="C32" s="62" t="str">
        <x:v>recommendation</x:v>
      </x:c>
      <x:c r="D32" s="62" t="str">
        <x:v>pnas_2610388123</x:v>
      </x:c>
      <x:c r="E32" s="62" t="str">
        <x:v>X</x:v>
      </x:c>
      <x:c r="F32" s="62" t="str">
        <x:v>2024</x:v>
      </x:c>
      <x:c r="G32" s="62" t="str">
        <x:v>aggregate_feed_comparison</x:v>
      </x:c>
      <x:c r="H32" s="69" t="str">
        <x:v>The 2024 matched feeds selected content with lower value alignment than the followed inventory</x:v>
      </x:c>
      <x:c r="I32" s="69" t="str">
        <x:v>The 2024 matched-feed study reports aggregate value misalignment for selected content; it does not identify foreign or automated accounts.</x:v>
      </x:c>
      <x:c r="J32" s="69" t="str">
        <x:v>sources/local_reports/matched_feed_2024_synthesis_report.md</x:v>
      </x:c>
      <x:c r="K32" s="69" t="str">
        <x:v>2024 value-selection pattern; opening summary</x:v>
      </x:c>
      <x:c r="L32" s="62" t="str">
        <x:v>a787850800b7319946e55c99c05f700fad42ce48e411f3e92b84505fdb37f1a7</x:v>
      </x:c>
      <x:c r="M32" s="69" t="str">
        <x:v>Local report file bytes at case assembly</x:v>
      </x:c>
      <x:c r="N32" s="72" t="str"/>
      <x:c r="O32" s="72" t="str"/>
      <x:c r="P32" s="63" t="str"/>
      <x:c r="Q32" s="64" t="str"/>
    </x:row>
    <x:row r="33" ht="45" customHeight="1">
      <x:c r="A33" s="62" t="str">
        <x:v>values_misalignment_only:impact</x:v>
      </x:c>
      <x:c r="B33" s="62" t="str">
        <x:v>values_misalignment_only</x:v>
      </x:c>
      <x:c r="C33" s="62" t="str">
        <x:v>impact</x:v>
      </x:c>
      <x:c r="D33" s="62" t="str">
        <x:v>pnas_2610388123</x:v>
      </x:c>
      <x:c r="E33" s="62" t="str">
        <x:v>X</x:v>
      </x:c>
      <x:c r="F33" s="62" t="str">
        <x:v>2024</x:v>
      </x:c>
      <x:c r="G33" s="62" t="str">
        <x:v>aggregate_feed_comparison</x:v>
      </x:c>
      <x:c r="H33" s="69" t="str">
        <x:v>The 2024 matched feeds selected content with lower value alignment than the followed inventory</x:v>
      </x:c>
      <x:c r="I33" s="69" t="str">
        <x:v>The 2024 matched-feed study reports aggregate value misalignment for selected content; it does not identify foreign or automated accounts.</x:v>
      </x:c>
      <x:c r="J33" s="69" t="str">
        <x:v>sources/local_reports/matched_feed_2024_synthesis_report.md</x:v>
      </x:c>
      <x:c r="K33" s="69" t="str">
        <x:v>2024 value-selection pattern; opening summary</x:v>
      </x:c>
      <x:c r="L33" s="62" t="str">
        <x:v>a787850800b7319946e55c99c05f700fad42ce48e411f3e92b84505fdb37f1a7</x:v>
      </x:c>
      <x:c r="M33" s="69" t="str">
        <x:v>Local report file bytes at case assembly</x:v>
      </x:c>
      <x:c r="N33" s="72" t="str"/>
      <x:c r="O33" s="72" t="str"/>
      <x:c r="P33" s="63" t="str"/>
      <x:c r="Q33" s="64" t="str"/>
    </x:row>
    <x:row r="34" ht="45" customHeight="1">
      <x:c r="A34" s="62" t="str">
        <x:v>facebook_media_coordination:origin</x:v>
      </x:c>
      <x:c r="B34" s="62" t="str">
        <x:v>facebook_media_coordination</x:v>
      </x:c>
      <x:c r="C34" s="62" t="str">
        <x:v>origin</x:v>
      </x:c>
      <x:c r="D34" s="62" t="str">
        <x:v>rogers_righetti_2025_facebook</x:v>
      </x:c>
      <x:c r="E34" s="62" t="str">
        <x:v>Facebook</x:v>
      </x:c>
      <x:c r="F34" s="62" t="str">
        <x:v>study periods reported in article</x:v>
      </x:c>
      <x:c r="G34" s="62" t="str">
        <x:v>media_group_comparison</x:v>
      </x:c>
      <x:c r="H34" s="69" t="str">
        <x:v>Coordinated Facebook link sharing by the inspected media groups was deceptive</x:v>
      </x:c>
      <x:c r="I34" s="69" t="str">
        <x:v>The authors observed highly coordinated link sharing by identifiable media groups; they found similar sharing signatures in an influence operation. Coordination behavior alone does not classify the groups as deceptive.</x:v>
      </x:c>
      <x:c r="J34" s="69" t="str">
        <x:v>https://pure.uva.nl/ws/files/256825421/rogers-righetti-2025-coordinated-inauthentic-behaviour-on-facebook-a-typology-of-manufactured-attention.pdf</x:v>
      </x:c>
      <x:c r="K34" s="69" t="str">
        <x:v>Final published version, abstract and introduction; DOI 10.1177/29768624251369784</x:v>
      </x:c>
      <x:c r="L34" s="62" t="str">
        <x:v>d46c898802a44bdfaaa971efa61710876851b7c816b30dd459480738418b7f08</x:v>
      </x:c>
      <x:c r="M34" s="69" t="str">
        <x:v>Open-access final published PDF response body from the University of Amsterdam repository; raw bytes not redistributed</x:v>
      </x:c>
      <x:c r="N34" s="72" t="str"/>
      <x:c r="O34" s="72" t="str"/>
      <x:c r="P34" s="63" t="str"/>
      <x:c r="Q34" s="64" t="str"/>
    </x:row>
    <x:row r="35" ht="45" customHeight="1">
      <x:c r="A35" s="62" t="str">
        <x:v>facebook_media_coordination:operation_attribution</x:v>
      </x:c>
      <x:c r="B35" s="62" t="str">
        <x:v>facebook_media_coordination</x:v>
      </x:c>
      <x:c r="C35" s="62" t="str">
        <x:v>operation_attribution</x:v>
      </x:c>
      <x:c r="D35" s="62" t="str">
        <x:v>rogers_righetti_2025_facebook</x:v>
      </x:c>
      <x:c r="E35" s="62" t="str">
        <x:v>Facebook</x:v>
      </x:c>
      <x:c r="F35" s="62" t="str">
        <x:v>study periods reported in article</x:v>
      </x:c>
      <x:c r="G35" s="62" t="str">
        <x:v>media_group_comparison</x:v>
      </x:c>
      <x:c r="H35" s="69" t="str">
        <x:v>Coordinated Facebook link sharing by the inspected media groups was deceptive</x:v>
      </x:c>
      <x:c r="I35" s="69" t="str">
        <x:v>The authors observed highly coordinated link sharing by identifiable media groups; they found similar sharing signatures in an influence operation. Coordination behavior alone does not classify the groups as deceptive.</x:v>
      </x:c>
      <x:c r="J35" s="69" t="str">
        <x:v>https://pure.uva.nl/ws/files/256825421/rogers-righetti-2025-coordinated-inauthentic-behaviour-on-facebook-a-typology-of-manufactured-attention.pdf</x:v>
      </x:c>
      <x:c r="K35" s="69" t="str">
        <x:v>Final published version, abstract and introduction; DOI 10.1177/29768624251369784</x:v>
      </x:c>
      <x:c r="L35" s="62" t="str">
        <x:v>d46c898802a44bdfaaa971efa61710876851b7c816b30dd459480738418b7f08</x:v>
      </x:c>
      <x:c r="M35" s="69" t="str">
        <x:v>Open-access final published PDF response body from the University of Amsterdam repository; raw bytes not redistributed</x:v>
      </x:c>
      <x:c r="N35" s="72" t="str"/>
      <x:c r="O35" s="72" t="str"/>
      <x:c r="P35" s="63" t="str"/>
      <x:c r="Q35" s="64" t="str"/>
    </x:row>
    <x:row r="36" ht="45" customHeight="1">
      <x:c r="A36" s="62" t="str">
        <x:v>facebook_media_coordination:automation</x:v>
      </x:c>
      <x:c r="B36" s="62" t="str">
        <x:v>facebook_media_coordination</x:v>
      </x:c>
      <x:c r="C36" s="62" t="str">
        <x:v>automation</x:v>
      </x:c>
      <x:c r="D36" s="62" t="str">
        <x:v>rogers_righetti_2025_facebook</x:v>
      </x:c>
      <x:c r="E36" s="62" t="str">
        <x:v>Facebook</x:v>
      </x:c>
      <x:c r="F36" s="62" t="str">
        <x:v>study periods reported in article</x:v>
      </x:c>
      <x:c r="G36" s="62" t="str">
        <x:v>media_group_comparison</x:v>
      </x:c>
      <x:c r="H36" s="69" t="str">
        <x:v>Coordinated Facebook link sharing by the inspected media groups was deceptive</x:v>
      </x:c>
      <x:c r="I36" s="69" t="str">
        <x:v>The authors observed highly coordinated link sharing by identifiable media groups; they found similar sharing signatures in an influence operation. Coordination behavior alone does not classify the groups as deceptive.</x:v>
      </x:c>
      <x:c r="J36" s="69" t="str">
        <x:v>https://pure.uva.nl/ws/files/256825421/rogers-righetti-2025-coordinated-inauthentic-behaviour-on-facebook-a-typology-of-manufactured-attention.pdf</x:v>
      </x:c>
      <x:c r="K36" s="69" t="str">
        <x:v>Final published version, abstract and introduction; DOI 10.1177/29768624251369784</x:v>
      </x:c>
      <x:c r="L36" s="62" t="str">
        <x:v>d46c898802a44bdfaaa971efa61710876851b7c816b30dd459480738418b7f08</x:v>
      </x:c>
      <x:c r="M36" s="69" t="str">
        <x:v>Open-access final published PDF response body from the University of Amsterdam repository; raw bytes not redistributed</x:v>
      </x:c>
      <x:c r="N36" s="72" t="str"/>
      <x:c r="O36" s="72" t="str"/>
      <x:c r="P36" s="63" t="str"/>
      <x:c r="Q36" s="64" t="str"/>
    </x:row>
    <x:row r="37" ht="45" customHeight="1">
      <x:c r="A37" s="62" t="str">
        <x:v>facebook_media_coordination:coordination</x:v>
      </x:c>
      <x:c r="B37" s="62" t="str">
        <x:v>facebook_media_coordination</x:v>
      </x:c>
      <x:c r="C37" s="62" t="str">
        <x:v>coordination</x:v>
      </x:c>
      <x:c r="D37" s="62" t="str">
        <x:v>rogers_righetti_2025_facebook</x:v>
      </x:c>
      <x:c r="E37" s="62" t="str">
        <x:v>Facebook</x:v>
      </x:c>
      <x:c r="F37" s="62" t="str">
        <x:v>study periods reported in article</x:v>
      </x:c>
      <x:c r="G37" s="62" t="str">
        <x:v>media_group_comparison</x:v>
      </x:c>
      <x:c r="H37" s="69" t="str">
        <x:v>Coordinated Facebook link sharing by the inspected media groups was deceptive</x:v>
      </x:c>
      <x:c r="I37" s="69" t="str">
        <x:v>The authors observed highly coordinated link sharing by identifiable media groups; they found similar sharing signatures in an influence operation. Coordination behavior alone does not classify the groups as deceptive.</x:v>
      </x:c>
      <x:c r="J37" s="69" t="str">
        <x:v>https://pure.uva.nl/ws/files/256825421/rogers-righetti-2025-coordinated-inauthentic-behaviour-on-facebook-a-typology-of-manufactured-attention.pdf</x:v>
      </x:c>
      <x:c r="K37" s="69" t="str">
        <x:v>Final published version, abstract and introduction; DOI 10.1177/29768624251369784</x:v>
      </x:c>
      <x:c r="L37" s="62" t="str">
        <x:v>d46c898802a44bdfaaa971efa61710876851b7c816b30dd459480738418b7f08</x:v>
      </x:c>
      <x:c r="M37" s="69" t="str">
        <x:v>Open-access final published PDF response body from the University of Amsterdam repository; raw bytes not redistributed</x:v>
      </x:c>
      <x:c r="N37" s="72" t="str"/>
      <x:c r="O37" s="72" t="str"/>
      <x:c r="P37" s="63" t="str"/>
      <x:c r="Q37" s="64" t="str"/>
    </x:row>
    <x:row r="38" ht="45" customHeight="1">
      <x:c r="A38" s="62" t="str">
        <x:v>facebook_media_coordination:deception</x:v>
      </x:c>
      <x:c r="B38" s="62" t="str">
        <x:v>facebook_media_coordination</x:v>
      </x:c>
      <x:c r="C38" s="62" t="str">
        <x:v>deception</x:v>
      </x:c>
      <x:c r="D38" s="62" t="str">
        <x:v>rogers_righetti_2025_facebook</x:v>
      </x:c>
      <x:c r="E38" s="62" t="str">
        <x:v>Facebook</x:v>
      </x:c>
      <x:c r="F38" s="62" t="str">
        <x:v>study periods reported in article</x:v>
      </x:c>
      <x:c r="G38" s="62" t="str">
        <x:v>media_group_comparison</x:v>
      </x:c>
      <x:c r="H38" s="69" t="str">
        <x:v>Coordinated Facebook link sharing by the inspected media groups was deceptive</x:v>
      </x:c>
      <x:c r="I38" s="69" t="str">
        <x:v>The authors observed highly coordinated link sharing by identifiable media groups; they found similar sharing signatures in an influence operation. Coordination behavior alone does not classify the groups as deceptive.</x:v>
      </x:c>
      <x:c r="J38" s="69" t="str">
        <x:v>https://pure.uva.nl/ws/files/256825421/rogers-righetti-2025-coordinated-inauthentic-behaviour-on-facebook-a-typology-of-manufactured-attention.pdf</x:v>
      </x:c>
      <x:c r="K38" s="69" t="str">
        <x:v>Final published version, abstract and introduction; DOI 10.1177/29768624251369784</x:v>
      </x:c>
      <x:c r="L38" s="62" t="str">
        <x:v>d46c898802a44bdfaaa971efa61710876851b7c816b30dd459480738418b7f08</x:v>
      </x:c>
      <x:c r="M38" s="69" t="str">
        <x:v>Open-access final published PDF response body from the University of Amsterdam repository; raw bytes not redistributed</x:v>
      </x:c>
      <x:c r="N38" s="72" t="str"/>
      <x:c r="O38" s="72" t="str"/>
      <x:c r="P38" s="63" t="str"/>
      <x:c r="Q38" s="64" t="str"/>
    </x:row>
    <x:row r="39" ht="45" customHeight="1">
      <x:c r="A39" s="62" t="str">
        <x:v>facebook_media_coordination:exposure</x:v>
      </x:c>
      <x:c r="B39" s="62" t="str">
        <x:v>facebook_media_coordination</x:v>
      </x:c>
      <x:c r="C39" s="62" t="str">
        <x:v>exposure</x:v>
      </x:c>
      <x:c r="D39" s="62" t="str">
        <x:v>rogers_righetti_2025_facebook</x:v>
      </x:c>
      <x:c r="E39" s="62" t="str">
        <x:v>Facebook</x:v>
      </x:c>
      <x:c r="F39" s="62" t="str">
        <x:v>study periods reported in article</x:v>
      </x:c>
      <x:c r="G39" s="62" t="str">
        <x:v>media_group_comparison</x:v>
      </x:c>
      <x:c r="H39" s="69" t="str">
        <x:v>Coordinated Facebook link sharing by the inspected media groups was deceptive</x:v>
      </x:c>
      <x:c r="I39" s="69" t="str">
        <x:v>The authors observed highly coordinated link sharing by identifiable media groups; they found similar sharing signatures in an influence operation. Coordination behavior alone does not classify the groups as deceptive.</x:v>
      </x:c>
      <x:c r="J39" s="69" t="str">
        <x:v>https://pure.uva.nl/ws/files/256825421/rogers-righetti-2025-coordinated-inauthentic-behaviour-on-facebook-a-typology-of-manufactured-attention.pdf</x:v>
      </x:c>
      <x:c r="K39" s="69" t="str">
        <x:v>Final published version, abstract and introduction; DOI 10.1177/29768624251369784</x:v>
      </x:c>
      <x:c r="L39" s="62" t="str">
        <x:v>d46c898802a44bdfaaa971efa61710876851b7c816b30dd459480738418b7f08</x:v>
      </x:c>
      <x:c r="M39" s="69" t="str">
        <x:v>Open-access final published PDF response body from the University of Amsterdam repository; raw bytes not redistributed</x:v>
      </x:c>
      <x:c r="N39" s="72" t="str"/>
      <x:c r="O39" s="72" t="str"/>
      <x:c r="P39" s="63" t="str"/>
      <x:c r="Q39" s="64" t="str"/>
    </x:row>
    <x:row r="40" ht="45" customHeight="1">
      <x:c r="A40" s="62" t="str">
        <x:v>facebook_media_coordination:recommendation</x:v>
      </x:c>
      <x:c r="B40" s="62" t="str">
        <x:v>facebook_media_coordination</x:v>
      </x:c>
      <x:c r="C40" s="62" t="str">
        <x:v>recommendation</x:v>
      </x:c>
      <x:c r="D40" s="62" t="str">
        <x:v>rogers_righetti_2025_facebook</x:v>
      </x:c>
      <x:c r="E40" s="62" t="str">
        <x:v>Facebook</x:v>
      </x:c>
      <x:c r="F40" s="62" t="str">
        <x:v>study periods reported in article</x:v>
      </x:c>
      <x:c r="G40" s="62" t="str">
        <x:v>media_group_comparison</x:v>
      </x:c>
      <x:c r="H40" s="69" t="str">
        <x:v>Coordinated Facebook link sharing by the inspected media groups was deceptive</x:v>
      </x:c>
      <x:c r="I40" s="69" t="str">
        <x:v>The authors observed highly coordinated link sharing by identifiable media groups; they found similar sharing signatures in an influence operation. Coordination behavior alone does not classify the groups as deceptive.</x:v>
      </x:c>
      <x:c r="J40" s="69" t="str">
        <x:v>https://pure.uva.nl/ws/files/256825421/rogers-righetti-2025-coordinated-inauthentic-behaviour-on-facebook-a-typology-of-manufactured-attention.pdf</x:v>
      </x:c>
      <x:c r="K40" s="69" t="str">
        <x:v>Final published version, abstract and introduction; DOI 10.1177/29768624251369784</x:v>
      </x:c>
      <x:c r="L40" s="62" t="str">
        <x:v>d46c898802a44bdfaaa971efa61710876851b7c816b30dd459480738418b7f08</x:v>
      </x:c>
      <x:c r="M40" s="69" t="str">
        <x:v>Open-access final published PDF response body from the University of Amsterdam repository; raw bytes not redistributed</x:v>
      </x:c>
      <x:c r="N40" s="72" t="str"/>
      <x:c r="O40" s="72" t="str"/>
      <x:c r="P40" s="63" t="str"/>
      <x:c r="Q40" s="64" t="str"/>
    </x:row>
    <x:row r="41" ht="45" customHeight="1">
      <x:c r="A41" s="62" t="str">
        <x:v>facebook_media_coordination:impact</x:v>
      </x:c>
      <x:c r="B41" s="62" t="str">
        <x:v>facebook_media_coordination</x:v>
      </x:c>
      <x:c r="C41" s="62" t="str">
        <x:v>impact</x:v>
      </x:c>
      <x:c r="D41" s="62" t="str">
        <x:v>rogers_righetti_2025_facebook</x:v>
      </x:c>
      <x:c r="E41" s="62" t="str">
        <x:v>Facebook</x:v>
      </x:c>
      <x:c r="F41" s="62" t="str">
        <x:v>study periods reported in article</x:v>
      </x:c>
      <x:c r="G41" s="62" t="str">
        <x:v>media_group_comparison</x:v>
      </x:c>
      <x:c r="H41" s="69" t="str">
        <x:v>Coordinated Facebook link sharing by the inspected media groups was deceptive</x:v>
      </x:c>
      <x:c r="I41" s="69" t="str">
        <x:v>The authors observed highly coordinated link sharing by identifiable media groups; they found similar sharing signatures in an influence operation. Coordination behavior alone does not classify the groups as deceptive.</x:v>
      </x:c>
      <x:c r="J41" s="69" t="str">
        <x:v>https://pure.uva.nl/ws/files/256825421/rogers-righetti-2025-coordinated-inauthentic-behaviour-on-facebook-a-typology-of-manufactured-attention.pdf</x:v>
      </x:c>
      <x:c r="K41" s="69" t="str">
        <x:v>Final published version, abstract and introduction; DOI 10.1177/29768624251369784</x:v>
      </x:c>
      <x:c r="L41" s="62" t="str">
        <x:v>d46c898802a44bdfaaa971efa61710876851b7c816b30dd459480738418b7f08</x:v>
      </x:c>
      <x:c r="M41" s="69" t="str">
        <x:v>Open-access final published PDF response body from the University of Amsterdam repository; raw bytes not redistributed</x:v>
      </x:c>
      <x:c r="N41" s="72" t="str"/>
      <x:c r="O41" s="72" t="str"/>
      <x:c r="P41" s="63" t="str"/>
      <x:c r="Q41" s="64" t="str"/>
    </x:row>
    <x:row r="42" ht="45" customHeight="1">
      <x:c r="A42" s="62" t="str">
        <x:v>tiktok_duet_signal_only:origin</x:v>
      </x:c>
      <x:c r="B42" s="62" t="str">
        <x:v>tiktok_duet_signal_only</x:v>
      </x:c>
      <x:c r="C42" s="62" t="str">
        <x:v>origin</x:v>
      </x:c>
      <x:c r="D42" s="62" t="str">
        <x:v>luceri_2026_tiktok</x:v>
      </x:c>
      <x:c r="E42" s="62" t="str">
        <x:v>TikTok</x:v>
      </x:c>
      <x:c r="F42" s="62" t="str">
        <x:v>2024 election</x:v>
      </x:c>
      <x:c r="G42" s="62" t="str">
        <x:v>interaction_type</x:v>
      </x:c>
      <x:c r="H42" s="69" t="str">
        <x:v>A TikTok Duet or Stitch interaction alone establishes covert coordination</x:v>
      </x:c>
      <x:c r="I42" s="69" t="str">
        <x:v>The authors found that video reply and Duet/Stitch interactions often reflect organic engagement; this interaction type alone is insufficient to label coordination or deception.</x:v>
      </x:c>
      <x:c r="J42" s="69" t="str">
        <x:v>https://ojs.aaai.org/index.php/ICWSM/article/view/42711</x:v>
      </x:c>
      <x:c r="K42" s="69" t="str">
        <x:v>Article abstract; full-text validation pending</x:v>
      </x:c>
      <x:c r="L42" s="62" t="str">
        <x:v>cd6c11a72383e25a3c2e545f0a79d52537402cc4d8d83bf4a53eff27dbd515da</x:v>
      </x:c>
      <x:c r="M42" s="69" t="str">
        <x:v>HTTP 200 HTML response body; raw bytes not redistributed</x:v>
      </x:c>
      <x:c r="N42" s="72" t="str"/>
      <x:c r="O42" s="72" t="str"/>
      <x:c r="P42" s="63" t="str"/>
      <x:c r="Q42" s="64" t="str"/>
    </x:row>
    <x:row r="43" ht="45" customHeight="1">
      <x:c r="A43" s="62" t="str">
        <x:v>tiktok_duet_signal_only:operation_attribution</x:v>
      </x:c>
      <x:c r="B43" s="62" t="str">
        <x:v>tiktok_duet_signal_only</x:v>
      </x:c>
      <x:c r="C43" s="62" t="str">
        <x:v>operation_attribution</x:v>
      </x:c>
      <x:c r="D43" s="62" t="str">
        <x:v>luceri_2026_tiktok</x:v>
      </x:c>
      <x:c r="E43" s="62" t="str">
        <x:v>TikTok</x:v>
      </x:c>
      <x:c r="F43" s="62" t="str">
        <x:v>2024 election</x:v>
      </x:c>
      <x:c r="G43" s="62" t="str">
        <x:v>interaction_type</x:v>
      </x:c>
      <x:c r="H43" s="69" t="str">
        <x:v>A TikTok Duet or Stitch interaction alone establishes covert coordination</x:v>
      </x:c>
      <x:c r="I43" s="69" t="str">
        <x:v>The authors found that video reply and Duet/Stitch interactions often reflect organic engagement; this interaction type alone is insufficient to label coordination or deception.</x:v>
      </x:c>
      <x:c r="J43" s="69" t="str">
        <x:v>https://ojs.aaai.org/index.php/ICWSM/article/view/42711</x:v>
      </x:c>
      <x:c r="K43" s="69" t="str">
        <x:v>Article abstract; full-text validation pending</x:v>
      </x:c>
      <x:c r="L43" s="62" t="str">
        <x:v>cd6c11a72383e25a3c2e545f0a79d52537402cc4d8d83bf4a53eff27dbd515da</x:v>
      </x:c>
      <x:c r="M43" s="69" t="str">
        <x:v>HTTP 200 HTML response body; raw bytes not redistributed</x:v>
      </x:c>
      <x:c r="N43" s="72" t="str"/>
      <x:c r="O43" s="72" t="str"/>
      <x:c r="P43" s="63" t="str"/>
      <x:c r="Q43" s="64" t="str"/>
    </x:row>
    <x:row r="44" ht="45" customHeight="1">
      <x:c r="A44" s="62" t="str">
        <x:v>tiktok_duet_signal_only:automation</x:v>
      </x:c>
      <x:c r="B44" s="62" t="str">
        <x:v>tiktok_duet_signal_only</x:v>
      </x:c>
      <x:c r="C44" s="62" t="str">
        <x:v>automation</x:v>
      </x:c>
      <x:c r="D44" s="62" t="str">
        <x:v>luceri_2026_tiktok</x:v>
      </x:c>
      <x:c r="E44" s="62" t="str">
        <x:v>TikTok</x:v>
      </x:c>
      <x:c r="F44" s="62" t="str">
        <x:v>2024 election</x:v>
      </x:c>
      <x:c r="G44" s="62" t="str">
        <x:v>interaction_type</x:v>
      </x:c>
      <x:c r="H44" s="69" t="str">
        <x:v>A TikTok Duet or Stitch interaction alone establishes covert coordination</x:v>
      </x:c>
      <x:c r="I44" s="69" t="str">
        <x:v>The authors found that video reply and Duet/Stitch interactions often reflect organic engagement; this interaction type alone is insufficient to label coordination or deception.</x:v>
      </x:c>
      <x:c r="J44" s="69" t="str">
        <x:v>https://ojs.aaai.org/index.php/ICWSM/article/view/42711</x:v>
      </x:c>
      <x:c r="K44" s="69" t="str">
        <x:v>Article abstract; full-text validation pending</x:v>
      </x:c>
      <x:c r="L44" s="62" t="str">
        <x:v>cd6c11a72383e25a3c2e545f0a79d52537402cc4d8d83bf4a53eff27dbd515da</x:v>
      </x:c>
      <x:c r="M44" s="69" t="str">
        <x:v>HTTP 200 HTML response body; raw bytes not redistributed</x:v>
      </x:c>
      <x:c r="N44" s="72" t="str"/>
      <x:c r="O44" s="72" t="str"/>
      <x:c r="P44" s="63" t="str"/>
      <x:c r="Q44" s="64" t="str"/>
    </x:row>
    <x:row r="45" ht="45" customHeight="1">
      <x:c r="A45" s="62" t="str">
        <x:v>tiktok_duet_signal_only:coordination</x:v>
      </x:c>
      <x:c r="B45" s="62" t="str">
        <x:v>tiktok_duet_signal_only</x:v>
      </x:c>
      <x:c r="C45" s="62" t="str">
        <x:v>coordination</x:v>
      </x:c>
      <x:c r="D45" s="62" t="str">
        <x:v>luceri_2026_tiktok</x:v>
      </x:c>
      <x:c r="E45" s="62" t="str">
        <x:v>TikTok</x:v>
      </x:c>
      <x:c r="F45" s="62" t="str">
        <x:v>2024 election</x:v>
      </x:c>
      <x:c r="G45" s="62" t="str">
        <x:v>interaction_type</x:v>
      </x:c>
      <x:c r="H45" s="69" t="str">
        <x:v>A TikTok Duet or Stitch interaction alone establishes covert coordination</x:v>
      </x:c>
      <x:c r="I45" s="69" t="str">
        <x:v>The authors found that video reply and Duet/Stitch interactions often reflect organic engagement; this interaction type alone is insufficient to label coordination or deception.</x:v>
      </x:c>
      <x:c r="J45" s="69" t="str">
        <x:v>https://ojs.aaai.org/index.php/ICWSM/article/view/42711</x:v>
      </x:c>
      <x:c r="K45" s="69" t="str">
        <x:v>Article abstract; full-text validation pending</x:v>
      </x:c>
      <x:c r="L45" s="62" t="str">
        <x:v>cd6c11a72383e25a3c2e545f0a79d52537402cc4d8d83bf4a53eff27dbd515da</x:v>
      </x:c>
      <x:c r="M45" s="69" t="str">
        <x:v>HTTP 200 HTML response body; raw bytes not redistributed</x:v>
      </x:c>
      <x:c r="N45" s="72" t="str"/>
      <x:c r="O45" s="72" t="str"/>
      <x:c r="P45" s="63" t="str"/>
      <x:c r="Q45" s="64" t="str"/>
    </x:row>
    <x:row r="46" ht="45" customHeight="1">
      <x:c r="A46" s="62" t="str">
        <x:v>tiktok_duet_signal_only:deception</x:v>
      </x:c>
      <x:c r="B46" s="62" t="str">
        <x:v>tiktok_duet_signal_only</x:v>
      </x:c>
      <x:c r="C46" s="62" t="str">
        <x:v>deception</x:v>
      </x:c>
      <x:c r="D46" s="62" t="str">
        <x:v>luceri_2026_tiktok</x:v>
      </x:c>
      <x:c r="E46" s="62" t="str">
        <x:v>TikTok</x:v>
      </x:c>
      <x:c r="F46" s="62" t="str">
        <x:v>2024 election</x:v>
      </x:c>
      <x:c r="G46" s="62" t="str">
        <x:v>interaction_type</x:v>
      </x:c>
      <x:c r="H46" s="69" t="str">
        <x:v>A TikTok Duet or Stitch interaction alone establishes covert coordination</x:v>
      </x:c>
      <x:c r="I46" s="69" t="str">
        <x:v>The authors found that video reply and Duet/Stitch interactions often reflect organic engagement; this interaction type alone is insufficient to label coordination or deception.</x:v>
      </x:c>
      <x:c r="J46" s="69" t="str">
        <x:v>https://ojs.aaai.org/index.php/ICWSM/article/view/42711</x:v>
      </x:c>
      <x:c r="K46" s="69" t="str">
        <x:v>Article abstract; full-text validation pending</x:v>
      </x:c>
      <x:c r="L46" s="62" t="str">
        <x:v>cd6c11a72383e25a3c2e545f0a79d52537402cc4d8d83bf4a53eff27dbd515da</x:v>
      </x:c>
      <x:c r="M46" s="69" t="str">
        <x:v>HTTP 200 HTML response body; raw bytes not redistributed</x:v>
      </x:c>
      <x:c r="N46" s="72" t="str"/>
      <x:c r="O46" s="72" t="str"/>
      <x:c r="P46" s="63" t="str"/>
      <x:c r="Q46" s="64" t="str"/>
    </x:row>
    <x:row r="47" ht="45" customHeight="1">
      <x:c r="A47" s="62" t="str">
        <x:v>tiktok_duet_signal_only:exposure</x:v>
      </x:c>
      <x:c r="B47" s="62" t="str">
        <x:v>tiktok_duet_signal_only</x:v>
      </x:c>
      <x:c r="C47" s="62" t="str">
        <x:v>exposure</x:v>
      </x:c>
      <x:c r="D47" s="62" t="str">
        <x:v>luceri_2026_tiktok</x:v>
      </x:c>
      <x:c r="E47" s="62" t="str">
        <x:v>TikTok</x:v>
      </x:c>
      <x:c r="F47" s="62" t="str">
        <x:v>2024 election</x:v>
      </x:c>
      <x:c r="G47" s="62" t="str">
        <x:v>interaction_type</x:v>
      </x:c>
      <x:c r="H47" s="69" t="str">
        <x:v>A TikTok Duet or Stitch interaction alone establishes covert coordination</x:v>
      </x:c>
      <x:c r="I47" s="69" t="str">
        <x:v>The authors found that video reply and Duet/Stitch interactions often reflect organic engagement; this interaction type alone is insufficient to label coordination or deception.</x:v>
      </x:c>
      <x:c r="J47" s="69" t="str">
        <x:v>https://ojs.aaai.org/index.php/ICWSM/article/view/42711</x:v>
      </x:c>
      <x:c r="K47" s="69" t="str">
        <x:v>Article abstract; full-text validation pending</x:v>
      </x:c>
      <x:c r="L47" s="62" t="str">
        <x:v>cd6c11a72383e25a3c2e545f0a79d52537402cc4d8d83bf4a53eff27dbd515da</x:v>
      </x:c>
      <x:c r="M47" s="69" t="str">
        <x:v>HTTP 200 HTML response body; raw bytes not redistributed</x:v>
      </x:c>
      <x:c r="N47" s="72" t="str"/>
      <x:c r="O47" s="72" t="str"/>
      <x:c r="P47" s="63" t="str"/>
      <x:c r="Q47" s="64" t="str"/>
    </x:row>
    <x:row r="48" ht="45" customHeight="1">
      <x:c r="A48" s="62" t="str">
        <x:v>tiktok_duet_signal_only:recommendation</x:v>
      </x:c>
      <x:c r="B48" s="62" t="str">
        <x:v>tiktok_duet_signal_only</x:v>
      </x:c>
      <x:c r="C48" s="62" t="str">
        <x:v>recommendation</x:v>
      </x:c>
      <x:c r="D48" s="62" t="str">
        <x:v>luceri_2026_tiktok</x:v>
      </x:c>
      <x:c r="E48" s="62" t="str">
        <x:v>TikTok</x:v>
      </x:c>
      <x:c r="F48" s="62" t="str">
        <x:v>2024 election</x:v>
      </x:c>
      <x:c r="G48" s="62" t="str">
        <x:v>interaction_type</x:v>
      </x:c>
      <x:c r="H48" s="69" t="str">
        <x:v>A TikTok Duet or Stitch interaction alone establishes covert coordination</x:v>
      </x:c>
      <x:c r="I48" s="69" t="str">
        <x:v>The authors found that video reply and Duet/Stitch interactions often reflect organic engagement; this interaction type alone is insufficient to label coordination or deception.</x:v>
      </x:c>
      <x:c r="J48" s="69" t="str">
        <x:v>https://ojs.aaai.org/index.php/ICWSM/article/view/42711</x:v>
      </x:c>
      <x:c r="K48" s="69" t="str">
        <x:v>Article abstract; full-text validation pending</x:v>
      </x:c>
      <x:c r="L48" s="62" t="str">
        <x:v>cd6c11a72383e25a3c2e545f0a79d52537402cc4d8d83bf4a53eff27dbd515da</x:v>
      </x:c>
      <x:c r="M48" s="69" t="str">
        <x:v>HTTP 200 HTML response body; raw bytes not redistributed</x:v>
      </x:c>
      <x:c r="N48" s="72" t="str"/>
      <x:c r="O48" s="72" t="str"/>
      <x:c r="P48" s="63" t="str"/>
      <x:c r="Q48" s="64" t="str"/>
    </x:row>
    <x:row r="49" ht="45" customHeight="1">
      <x:c r="A49" s="62" t="str">
        <x:v>tiktok_duet_signal_only:impact</x:v>
      </x:c>
      <x:c r="B49" s="62" t="str">
        <x:v>tiktok_duet_signal_only</x:v>
      </x:c>
      <x:c r="C49" s="62" t="str">
        <x:v>impact</x:v>
      </x:c>
      <x:c r="D49" s="62" t="str">
        <x:v>luceri_2026_tiktok</x:v>
      </x:c>
      <x:c r="E49" s="62" t="str">
        <x:v>TikTok</x:v>
      </x:c>
      <x:c r="F49" s="62" t="str">
        <x:v>2024 election</x:v>
      </x:c>
      <x:c r="G49" s="62" t="str">
        <x:v>interaction_type</x:v>
      </x:c>
      <x:c r="H49" s="69" t="str">
        <x:v>A TikTok Duet or Stitch interaction alone establishes covert coordination</x:v>
      </x:c>
      <x:c r="I49" s="69" t="str">
        <x:v>The authors found that video reply and Duet/Stitch interactions often reflect organic engagement; this interaction type alone is insufficient to label coordination or deception.</x:v>
      </x:c>
      <x:c r="J49" s="69" t="str">
        <x:v>https://ojs.aaai.org/index.php/ICWSM/article/view/42711</x:v>
      </x:c>
      <x:c r="K49" s="69" t="str">
        <x:v>Article abstract; full-text validation pending</x:v>
      </x:c>
      <x:c r="L49" s="62" t="str">
        <x:v>cd6c11a72383e25a3c2e545f0a79d52537402cc4d8d83bf4a53eff27dbd515da</x:v>
      </x:c>
      <x:c r="M49" s="69" t="str">
        <x:v>HTTP 200 HTML response body; raw bytes not redistributed</x:v>
      </x:c>
      <x:c r="N49" s="72" t="str"/>
      <x:c r="O49" s="72" t="str"/>
      <x:c r="P49" s="63" t="str"/>
      <x:c r="Q49" s="64" t="str"/>
    </x:row>
    <x:row r="50" ht="45" customHeight="1">
      <x:c r="A50" s="62" t="str">
        <x:v>ira_potential_exposure:origin</x:v>
      </x:c>
      <x:c r="B50" s="62" t="str">
        <x:v>ira_potential_exposure</x:v>
      </x:c>
      <x:c r="C50" s="62" t="str">
        <x:v>origin</x:v>
      </x:c>
      <x:c r="D50" s="62" t="str">
        <x:v>eady_2023_ira_2016</x:v>
      </x:c>
      <x:c r="E50" s="62" t="str">
        <x:v>X</x:v>
      </x:c>
      <x:c r="F50" s="62" t="str">
        <x:v>2016 election</x:v>
      </x:c>
      <x:c r="G50" s="62" t="str">
        <x:v>respondent_exposure_proxy</x:v>
      </x:c>
      <x:c r="H50" s="69" t="str">
        <x:v>Respondents were delivered posts by platform-attributed IRA accounts in their observed feeds</x:v>
      </x:c>
      <x:c r="I50" s="69" t="str">
        <x:v>Researchers combined respondent follow lists with posts by followed accounts to reconstruct potential exposure to platform-attributed IRA posts in 2016. They state that they cannot know which posts respondents actually saw. They assessed observational associations with attitudes and voting, not a ranked-versus-chronological effect.</x:v>
      </x:c>
      <x:c r="J50" s="69" t="str">
        <x:v>https://pmc.ncbi.nlm.nih.gov/articles/PMC9829855/</x:v>
      </x:c>
      <x:c r="K50" s="69" t="str">
        <x:v>Methods: social media data, potential exposures (PMC9829855); authors explicitly say observed views are unknown</x:v>
      </x:c>
      <x:c r="L50" s="62" t="str">
        <x:v>cf6b33a533d03da58a4227e93004b414ee67322b39ce16819970f5efc0e9112d</x:v>
      </x:c>
      <x:c r="M50" s="69" t="str">
        <x:v>HTTP 200 HTML response body; raw bytes not redistributed</x:v>
      </x:c>
      <x:c r="N50" s="72" t="str"/>
      <x:c r="O50" s="72" t="str"/>
      <x:c r="P50" s="63" t="str"/>
      <x:c r="Q50" s="64" t="str"/>
    </x:row>
    <x:row r="51" ht="45" customHeight="1">
      <x:c r="A51" s="62" t="str">
        <x:v>ira_potential_exposure:operation_attribution</x:v>
      </x:c>
      <x:c r="B51" s="62" t="str">
        <x:v>ira_potential_exposure</x:v>
      </x:c>
      <x:c r="C51" s="62" t="str">
        <x:v>operation_attribution</x:v>
      </x:c>
      <x:c r="D51" s="62" t="str">
        <x:v>eady_2023_ira_2016</x:v>
      </x:c>
      <x:c r="E51" s="62" t="str">
        <x:v>X</x:v>
      </x:c>
      <x:c r="F51" s="62" t="str">
        <x:v>2016 election</x:v>
      </x:c>
      <x:c r="G51" s="62" t="str">
        <x:v>respondent_exposure_proxy</x:v>
      </x:c>
      <x:c r="H51" s="69" t="str">
        <x:v>Respondents were delivered posts by platform-attributed IRA accounts in their observed feeds</x:v>
      </x:c>
      <x:c r="I51" s="69" t="str">
        <x:v>Researchers combined respondent follow lists with posts by followed accounts to reconstruct potential exposure to platform-attributed IRA posts in 2016. They state that they cannot know which posts respondents actually saw. They assessed observational associations with attitudes and voting, not a ranked-versus-chronological effect.</x:v>
      </x:c>
      <x:c r="J51" s="69" t="str">
        <x:v>https://pmc.ncbi.nlm.nih.gov/articles/PMC9829855/</x:v>
      </x:c>
      <x:c r="K51" s="69" t="str">
        <x:v>Methods: social media data, potential exposures (PMC9829855); authors explicitly say observed views are unknown</x:v>
      </x:c>
      <x:c r="L51" s="62" t="str">
        <x:v>cf6b33a533d03da58a4227e93004b414ee67322b39ce16819970f5efc0e9112d</x:v>
      </x:c>
      <x:c r="M51" s="69" t="str">
        <x:v>HTTP 200 HTML response body; raw bytes not redistributed</x:v>
      </x:c>
      <x:c r="N51" s="72" t="str"/>
      <x:c r="O51" s="72" t="str"/>
      <x:c r="P51" s="63" t="str"/>
      <x:c r="Q51" s="64" t="str"/>
    </x:row>
    <x:row r="52" ht="45" customHeight="1">
      <x:c r="A52" s="62" t="str">
        <x:v>ira_potential_exposure:automation</x:v>
      </x:c>
      <x:c r="B52" s="62" t="str">
        <x:v>ira_potential_exposure</x:v>
      </x:c>
      <x:c r="C52" s="62" t="str">
        <x:v>automation</x:v>
      </x:c>
      <x:c r="D52" s="62" t="str">
        <x:v>eady_2023_ira_2016</x:v>
      </x:c>
      <x:c r="E52" s="62" t="str">
        <x:v>X</x:v>
      </x:c>
      <x:c r="F52" s="62" t="str">
        <x:v>2016 election</x:v>
      </x:c>
      <x:c r="G52" s="62" t="str">
        <x:v>respondent_exposure_proxy</x:v>
      </x:c>
      <x:c r="H52" s="69" t="str">
        <x:v>Respondents were delivered posts by platform-attributed IRA accounts in their observed feeds</x:v>
      </x:c>
      <x:c r="I52" s="69" t="str">
        <x:v>Researchers combined respondent follow lists with posts by followed accounts to reconstruct potential exposure to platform-attributed IRA posts in 2016. They state that they cannot know which posts respondents actually saw. They assessed observational associations with attitudes and voting, not a ranked-versus-chronological effect.</x:v>
      </x:c>
      <x:c r="J52" s="69" t="str">
        <x:v>https://pmc.ncbi.nlm.nih.gov/articles/PMC9829855/</x:v>
      </x:c>
      <x:c r="K52" s="69" t="str">
        <x:v>Methods: social media data, potential exposures (PMC9829855); authors explicitly say observed views are unknown</x:v>
      </x:c>
      <x:c r="L52" s="62" t="str">
        <x:v>cf6b33a533d03da58a4227e93004b414ee67322b39ce16819970f5efc0e9112d</x:v>
      </x:c>
      <x:c r="M52" s="69" t="str">
        <x:v>HTTP 200 HTML response body; raw bytes not redistributed</x:v>
      </x:c>
      <x:c r="N52" s="72" t="str"/>
      <x:c r="O52" s="72" t="str"/>
      <x:c r="P52" s="63" t="str"/>
      <x:c r="Q52" s="64" t="str"/>
    </x:row>
    <x:row r="53" ht="45" customHeight="1">
      <x:c r="A53" s="62" t="str">
        <x:v>ira_potential_exposure:coordination</x:v>
      </x:c>
      <x:c r="B53" s="62" t="str">
        <x:v>ira_potential_exposure</x:v>
      </x:c>
      <x:c r="C53" s="62" t="str">
        <x:v>coordination</x:v>
      </x:c>
      <x:c r="D53" s="62" t="str">
        <x:v>eady_2023_ira_2016</x:v>
      </x:c>
      <x:c r="E53" s="62" t="str">
        <x:v>X</x:v>
      </x:c>
      <x:c r="F53" s="62" t="str">
        <x:v>2016 election</x:v>
      </x:c>
      <x:c r="G53" s="62" t="str">
        <x:v>respondent_exposure_proxy</x:v>
      </x:c>
      <x:c r="H53" s="69" t="str">
        <x:v>Respondents were delivered posts by platform-attributed IRA accounts in their observed feeds</x:v>
      </x:c>
      <x:c r="I53" s="69" t="str">
        <x:v>Researchers combined respondent follow lists with posts by followed accounts to reconstruct potential exposure to platform-attributed IRA posts in 2016. They state that they cannot know which posts respondents actually saw. They assessed observational associations with attitudes and voting, not a ranked-versus-chronological effect.</x:v>
      </x:c>
      <x:c r="J53" s="69" t="str">
        <x:v>https://pmc.ncbi.nlm.nih.gov/articles/PMC9829855/</x:v>
      </x:c>
      <x:c r="K53" s="69" t="str">
        <x:v>Methods: social media data, potential exposures (PMC9829855); authors explicitly say observed views are unknown</x:v>
      </x:c>
      <x:c r="L53" s="62" t="str">
        <x:v>cf6b33a533d03da58a4227e93004b414ee67322b39ce16819970f5efc0e9112d</x:v>
      </x:c>
      <x:c r="M53" s="69" t="str">
        <x:v>HTTP 200 HTML response body; raw bytes not redistributed</x:v>
      </x:c>
      <x:c r="N53" s="72" t="str"/>
      <x:c r="O53" s="72" t="str"/>
      <x:c r="P53" s="63" t="str"/>
      <x:c r="Q53" s="64" t="str"/>
    </x:row>
    <x:row r="54" ht="45" customHeight="1">
      <x:c r="A54" s="62" t="str">
        <x:v>ira_potential_exposure:deception</x:v>
      </x:c>
      <x:c r="B54" s="62" t="str">
        <x:v>ira_potential_exposure</x:v>
      </x:c>
      <x:c r="C54" s="62" t="str">
        <x:v>deception</x:v>
      </x:c>
      <x:c r="D54" s="62" t="str">
        <x:v>eady_2023_ira_2016</x:v>
      </x:c>
      <x:c r="E54" s="62" t="str">
        <x:v>X</x:v>
      </x:c>
      <x:c r="F54" s="62" t="str">
        <x:v>2016 election</x:v>
      </x:c>
      <x:c r="G54" s="62" t="str">
        <x:v>respondent_exposure_proxy</x:v>
      </x:c>
      <x:c r="H54" s="69" t="str">
        <x:v>Respondents were delivered posts by platform-attributed IRA accounts in their observed feeds</x:v>
      </x:c>
      <x:c r="I54" s="69" t="str">
        <x:v>Researchers combined respondent follow lists with posts by followed accounts to reconstruct potential exposure to platform-attributed IRA posts in 2016. They state that they cannot know which posts respondents actually saw. They assessed observational associations with attitudes and voting, not a ranked-versus-chronological effect.</x:v>
      </x:c>
      <x:c r="J54" s="69" t="str">
        <x:v>https://pmc.ncbi.nlm.nih.gov/articles/PMC9829855/</x:v>
      </x:c>
      <x:c r="K54" s="69" t="str">
        <x:v>Methods: social media data, potential exposures (PMC9829855); authors explicitly say observed views are unknown</x:v>
      </x:c>
      <x:c r="L54" s="62" t="str">
        <x:v>cf6b33a533d03da58a4227e93004b414ee67322b39ce16819970f5efc0e9112d</x:v>
      </x:c>
      <x:c r="M54" s="69" t="str">
        <x:v>HTTP 200 HTML response body; raw bytes not redistributed</x:v>
      </x:c>
      <x:c r="N54" s="72" t="str"/>
      <x:c r="O54" s="72" t="str"/>
      <x:c r="P54" s="63" t="str"/>
      <x:c r="Q54" s="64" t="str"/>
    </x:row>
    <x:row r="55" ht="45" customHeight="1">
      <x:c r="A55" s="62" t="str">
        <x:v>ira_potential_exposure:exposure</x:v>
      </x:c>
      <x:c r="B55" s="62" t="str">
        <x:v>ira_potential_exposure</x:v>
      </x:c>
      <x:c r="C55" s="62" t="str">
        <x:v>exposure</x:v>
      </x:c>
      <x:c r="D55" s="62" t="str">
        <x:v>eady_2023_ira_2016</x:v>
      </x:c>
      <x:c r="E55" s="62" t="str">
        <x:v>X</x:v>
      </x:c>
      <x:c r="F55" s="62" t="str">
        <x:v>2016 election</x:v>
      </x:c>
      <x:c r="G55" s="62" t="str">
        <x:v>respondent_exposure_proxy</x:v>
      </x:c>
      <x:c r="H55" s="69" t="str">
        <x:v>Respondents were delivered posts by platform-attributed IRA accounts in their observed feeds</x:v>
      </x:c>
      <x:c r="I55" s="69" t="str">
        <x:v>Researchers combined respondent follow lists with posts by followed accounts to reconstruct potential exposure to platform-attributed IRA posts in 2016. They state that they cannot know which posts respondents actually saw. They assessed observational associations with attitudes and voting, not a ranked-versus-chronological effect.</x:v>
      </x:c>
      <x:c r="J55" s="69" t="str">
        <x:v>https://pmc.ncbi.nlm.nih.gov/articles/PMC9829855/</x:v>
      </x:c>
      <x:c r="K55" s="69" t="str">
        <x:v>Methods: social media data, potential exposures (PMC9829855); authors explicitly say observed views are unknown</x:v>
      </x:c>
      <x:c r="L55" s="62" t="str">
        <x:v>cf6b33a533d03da58a4227e93004b414ee67322b39ce16819970f5efc0e9112d</x:v>
      </x:c>
      <x:c r="M55" s="69" t="str">
        <x:v>HTTP 200 HTML response body; raw bytes not redistributed</x:v>
      </x:c>
      <x:c r="N55" s="72" t="str"/>
      <x:c r="O55" s="72" t="str"/>
      <x:c r="P55" s="63" t="str"/>
      <x:c r="Q55" s="64" t="str"/>
    </x:row>
    <x:row r="56" ht="45" customHeight="1">
      <x:c r="A56" s="62" t="str">
        <x:v>ira_potential_exposure:recommendation</x:v>
      </x:c>
      <x:c r="B56" s="62" t="str">
        <x:v>ira_potential_exposure</x:v>
      </x:c>
      <x:c r="C56" s="62" t="str">
        <x:v>recommendation</x:v>
      </x:c>
      <x:c r="D56" s="62" t="str">
        <x:v>eady_2023_ira_2016</x:v>
      </x:c>
      <x:c r="E56" s="62" t="str">
        <x:v>X</x:v>
      </x:c>
      <x:c r="F56" s="62" t="str">
        <x:v>2016 election</x:v>
      </x:c>
      <x:c r="G56" s="62" t="str">
        <x:v>respondent_exposure_proxy</x:v>
      </x:c>
      <x:c r="H56" s="69" t="str">
        <x:v>Respondents were delivered posts by platform-attributed IRA accounts in their observed feeds</x:v>
      </x:c>
      <x:c r="I56" s="69" t="str">
        <x:v>Researchers combined respondent follow lists with posts by followed accounts to reconstruct potential exposure to platform-attributed IRA posts in 2016. They state that they cannot know which posts respondents actually saw. They assessed observational associations with attitudes and voting, not a ranked-versus-chronological effect.</x:v>
      </x:c>
      <x:c r="J56" s="69" t="str">
        <x:v>https://pmc.ncbi.nlm.nih.gov/articles/PMC9829855/</x:v>
      </x:c>
      <x:c r="K56" s="69" t="str">
        <x:v>Methods: social media data, potential exposures (PMC9829855); authors explicitly say observed views are unknown</x:v>
      </x:c>
      <x:c r="L56" s="62" t="str">
        <x:v>cf6b33a533d03da58a4227e93004b414ee67322b39ce16819970f5efc0e9112d</x:v>
      </x:c>
      <x:c r="M56" s="69" t="str">
        <x:v>HTTP 200 HTML response body; raw bytes not redistributed</x:v>
      </x:c>
      <x:c r="N56" s="72" t="str"/>
      <x:c r="O56" s="72" t="str"/>
      <x:c r="P56" s="63" t="str"/>
      <x:c r="Q56" s="64" t="str"/>
    </x:row>
    <x:row r="57" ht="45" customHeight="1">
      <x:c r="A57" s="62" t="str">
        <x:v>ira_potential_exposure:impact</x:v>
      </x:c>
      <x:c r="B57" s="62" t="str">
        <x:v>ira_potential_exposure</x:v>
      </x:c>
      <x:c r="C57" s="62" t="str">
        <x:v>impact</x:v>
      </x:c>
      <x:c r="D57" s="62" t="str">
        <x:v>eady_2023_ira_2016</x:v>
      </x:c>
      <x:c r="E57" s="62" t="str">
        <x:v>X</x:v>
      </x:c>
      <x:c r="F57" s="62" t="str">
        <x:v>2016 election</x:v>
      </x:c>
      <x:c r="G57" s="62" t="str">
        <x:v>respondent_exposure_proxy</x:v>
      </x:c>
      <x:c r="H57" s="69" t="str">
        <x:v>Respondents were delivered posts by platform-attributed IRA accounts in their observed feeds</x:v>
      </x:c>
      <x:c r="I57" s="69" t="str">
        <x:v>Researchers combined respondent follow lists with posts by followed accounts to reconstruct potential exposure to platform-attributed IRA posts in 2016. They state that they cannot know which posts respondents actually saw. They assessed observational associations with attitudes and voting, not a ranked-versus-chronological effect.</x:v>
      </x:c>
      <x:c r="J57" s="69" t="str">
        <x:v>https://pmc.ncbi.nlm.nih.gov/articles/PMC9829855/</x:v>
      </x:c>
      <x:c r="K57" s="69" t="str">
        <x:v>Methods: social media data, potential exposures (PMC9829855); authors explicitly say observed views are unknown</x:v>
      </x:c>
      <x:c r="L57" s="62" t="str">
        <x:v>cf6b33a533d03da58a4227e93004b414ee67322b39ce16819970f5efc0e9112d</x:v>
      </x:c>
      <x:c r="M57" s="69" t="str">
        <x:v>HTTP 200 HTML response body; raw bytes not redistributed</x:v>
      </x:c>
      <x:c r="N57" s="72" t="str"/>
      <x:c r="O57" s="72" t="str"/>
      <x:c r="P57" s="63" t="str"/>
      <x:c r="Q57" s="64" t="str"/>
    </x:row>
    <x:row r="58" ht="45" customHeight="1">
      <x:c r="A58" s="62" t="str">
        <x:v>botometer_score_only:origin</x:v>
      </x:c>
      <x:c r="B58" s="62" t="str">
        <x:v>botometer_score_only</x:v>
      </x:c>
      <x:c r="C58" s="62" t="str">
        <x:v>origin</x:v>
      </x:c>
      <x:c r="D58" s="62" t="str">
        <x:v>rauchfleisch_2020_botometer</x:v>
      </x:c>
      <x:c r="E58" s="62" t="str">
        <x:v>X</x:v>
      </x:c>
      <x:c r="F58" s="62" t="str">
        <x:v>2019 validation</x:v>
      </x:c>
      <x:c r="G58" s="62" t="str">
        <x:v>threshold_account_claim</x:v>
      </x:c>
      <x:c r="H58" s="69" t="str">
        <x:v>An account above a researcher-chosen Botometer threshold is fully automated</x:v>
      </x:c>
      <x:c r="I58" s="69" t="str">
        <x:v>Rauchfleisch and Kaiser found false positives and temporal score variation when applying Botometer thresholds; a threshold-crossing score alone does not verify full automation for an account.</x:v>
      </x:c>
      <x:c r="J58" s="69" t="str">
        <x:v>https://journals.plos.org/plosone/article?id=10.1371/journal.pone.0241045</x:v>
      </x:c>
      <x:c r="K58" s="69" t="str">
        <x:v>Discussion: threshold false positives and temporal variation</x:v>
      </x:c>
      <x:c r="L58" s="62" t="str">
        <x:v>b6a5c86134279f4f796770ec286b72a1164746559dc1be03a1967044bfb81479</x:v>
      </x:c>
      <x:c r="M58" s="69" t="str">
        <x:v>HTTP 200 HTML response body; raw bytes not redistributed</x:v>
      </x:c>
      <x:c r="N58" s="72" t="str"/>
      <x:c r="O58" s="72" t="str"/>
      <x:c r="P58" s="63" t="str"/>
      <x:c r="Q58" s="64" t="str"/>
    </x:row>
    <x:row r="59" ht="45" customHeight="1">
      <x:c r="A59" s="62" t="str">
        <x:v>botometer_score_only:operation_attribution</x:v>
      </x:c>
      <x:c r="B59" s="62" t="str">
        <x:v>botometer_score_only</x:v>
      </x:c>
      <x:c r="C59" s="62" t="str">
        <x:v>operation_attribution</x:v>
      </x:c>
      <x:c r="D59" s="62" t="str">
        <x:v>rauchfleisch_2020_botometer</x:v>
      </x:c>
      <x:c r="E59" s="62" t="str">
        <x:v>X</x:v>
      </x:c>
      <x:c r="F59" s="62" t="str">
        <x:v>2019 validation</x:v>
      </x:c>
      <x:c r="G59" s="62" t="str">
        <x:v>threshold_account_claim</x:v>
      </x:c>
      <x:c r="H59" s="69" t="str">
        <x:v>An account above a researcher-chosen Botometer threshold is fully automated</x:v>
      </x:c>
      <x:c r="I59" s="69" t="str">
        <x:v>Rauchfleisch and Kaiser found false positives and temporal score variation when applying Botometer thresholds; a threshold-crossing score alone does not verify full automation for an account.</x:v>
      </x:c>
      <x:c r="J59" s="69" t="str">
        <x:v>https://journals.plos.org/plosone/article?id=10.1371/journal.pone.0241045</x:v>
      </x:c>
      <x:c r="K59" s="69" t="str">
        <x:v>Discussion: threshold false positives and temporal variation</x:v>
      </x:c>
      <x:c r="L59" s="62" t="str">
        <x:v>b6a5c86134279f4f796770ec286b72a1164746559dc1be03a1967044bfb81479</x:v>
      </x:c>
      <x:c r="M59" s="69" t="str">
        <x:v>HTTP 200 HTML response body; raw bytes not redistributed</x:v>
      </x:c>
      <x:c r="N59" s="72" t="str"/>
      <x:c r="O59" s="72" t="str"/>
      <x:c r="P59" s="63" t="str"/>
      <x:c r="Q59" s="64" t="str"/>
    </x:row>
    <x:row r="60" ht="45" customHeight="1">
      <x:c r="A60" s="62" t="str">
        <x:v>botometer_score_only:automation</x:v>
      </x:c>
      <x:c r="B60" s="62" t="str">
        <x:v>botometer_score_only</x:v>
      </x:c>
      <x:c r="C60" s="62" t="str">
        <x:v>automation</x:v>
      </x:c>
      <x:c r="D60" s="62" t="str">
        <x:v>rauchfleisch_2020_botometer</x:v>
      </x:c>
      <x:c r="E60" s="62" t="str">
        <x:v>X</x:v>
      </x:c>
      <x:c r="F60" s="62" t="str">
        <x:v>2019 validation</x:v>
      </x:c>
      <x:c r="G60" s="62" t="str">
        <x:v>threshold_account_claim</x:v>
      </x:c>
      <x:c r="H60" s="69" t="str">
        <x:v>An account above a researcher-chosen Botometer threshold is fully automated</x:v>
      </x:c>
      <x:c r="I60" s="69" t="str">
        <x:v>Rauchfleisch and Kaiser found false positives and temporal score variation when applying Botometer thresholds; a threshold-crossing score alone does not verify full automation for an account.</x:v>
      </x:c>
      <x:c r="J60" s="69" t="str">
        <x:v>https://journals.plos.org/plosone/article?id=10.1371/journal.pone.0241045</x:v>
      </x:c>
      <x:c r="K60" s="69" t="str">
        <x:v>Discussion: threshold false positives and temporal variation</x:v>
      </x:c>
      <x:c r="L60" s="62" t="str">
        <x:v>b6a5c86134279f4f796770ec286b72a1164746559dc1be03a1967044bfb81479</x:v>
      </x:c>
      <x:c r="M60" s="69" t="str">
        <x:v>HTTP 200 HTML response body; raw bytes not redistributed</x:v>
      </x:c>
      <x:c r="N60" s="72" t="str"/>
      <x:c r="O60" s="72" t="str"/>
      <x:c r="P60" s="63" t="str"/>
      <x:c r="Q60" s="64" t="str"/>
    </x:row>
    <x:row r="61" ht="45" customHeight="1">
      <x:c r="A61" s="62" t="str">
        <x:v>botometer_score_only:coordination</x:v>
      </x:c>
      <x:c r="B61" s="62" t="str">
        <x:v>botometer_score_only</x:v>
      </x:c>
      <x:c r="C61" s="62" t="str">
        <x:v>coordination</x:v>
      </x:c>
      <x:c r="D61" s="62" t="str">
        <x:v>rauchfleisch_2020_botometer</x:v>
      </x:c>
      <x:c r="E61" s="62" t="str">
        <x:v>X</x:v>
      </x:c>
      <x:c r="F61" s="62" t="str">
        <x:v>2019 validation</x:v>
      </x:c>
      <x:c r="G61" s="62" t="str">
        <x:v>threshold_account_claim</x:v>
      </x:c>
      <x:c r="H61" s="69" t="str">
        <x:v>An account above a researcher-chosen Botometer threshold is fully automated</x:v>
      </x:c>
      <x:c r="I61" s="69" t="str">
        <x:v>Rauchfleisch and Kaiser found false positives and temporal score variation when applying Botometer thresholds; a threshold-crossing score alone does not verify full automation for an account.</x:v>
      </x:c>
      <x:c r="J61" s="69" t="str">
        <x:v>https://journals.plos.org/plosone/article?id=10.1371/journal.pone.0241045</x:v>
      </x:c>
      <x:c r="K61" s="69" t="str">
        <x:v>Discussion: threshold false positives and temporal variation</x:v>
      </x:c>
      <x:c r="L61" s="62" t="str">
        <x:v>b6a5c86134279f4f796770ec286b72a1164746559dc1be03a1967044bfb81479</x:v>
      </x:c>
      <x:c r="M61" s="69" t="str">
        <x:v>HTTP 200 HTML response body; raw bytes not redistributed</x:v>
      </x:c>
      <x:c r="N61" s="72" t="str"/>
      <x:c r="O61" s="72" t="str"/>
      <x:c r="P61" s="63" t="str"/>
      <x:c r="Q61" s="64" t="str"/>
    </x:row>
    <x:row r="62" ht="45" customHeight="1">
      <x:c r="A62" s="62" t="str">
        <x:v>botometer_score_only:deception</x:v>
      </x:c>
      <x:c r="B62" s="62" t="str">
        <x:v>botometer_score_only</x:v>
      </x:c>
      <x:c r="C62" s="62" t="str">
        <x:v>deception</x:v>
      </x:c>
      <x:c r="D62" s="62" t="str">
        <x:v>rauchfleisch_2020_botometer</x:v>
      </x:c>
      <x:c r="E62" s="62" t="str">
        <x:v>X</x:v>
      </x:c>
      <x:c r="F62" s="62" t="str">
        <x:v>2019 validation</x:v>
      </x:c>
      <x:c r="G62" s="62" t="str">
        <x:v>threshold_account_claim</x:v>
      </x:c>
      <x:c r="H62" s="69" t="str">
        <x:v>An account above a researcher-chosen Botometer threshold is fully automated</x:v>
      </x:c>
      <x:c r="I62" s="69" t="str">
        <x:v>Rauchfleisch and Kaiser found false positives and temporal score variation when applying Botometer thresholds; a threshold-crossing score alone does not verify full automation for an account.</x:v>
      </x:c>
      <x:c r="J62" s="69" t="str">
        <x:v>https://journals.plos.org/plosone/article?id=10.1371/journal.pone.0241045</x:v>
      </x:c>
      <x:c r="K62" s="69" t="str">
        <x:v>Discussion: threshold false positives and temporal variation</x:v>
      </x:c>
      <x:c r="L62" s="62" t="str">
        <x:v>b6a5c86134279f4f796770ec286b72a1164746559dc1be03a1967044bfb81479</x:v>
      </x:c>
      <x:c r="M62" s="69" t="str">
        <x:v>HTTP 200 HTML response body; raw bytes not redistributed</x:v>
      </x:c>
      <x:c r="N62" s="72" t="str"/>
      <x:c r="O62" s="72" t="str"/>
      <x:c r="P62" s="63" t="str"/>
      <x:c r="Q62" s="64" t="str"/>
    </x:row>
    <x:row r="63" ht="45" customHeight="1">
      <x:c r="A63" s="62" t="str">
        <x:v>botometer_score_only:exposure</x:v>
      </x:c>
      <x:c r="B63" s="62" t="str">
        <x:v>botometer_score_only</x:v>
      </x:c>
      <x:c r="C63" s="62" t="str">
        <x:v>exposure</x:v>
      </x:c>
      <x:c r="D63" s="62" t="str">
        <x:v>rauchfleisch_2020_botometer</x:v>
      </x:c>
      <x:c r="E63" s="62" t="str">
        <x:v>X</x:v>
      </x:c>
      <x:c r="F63" s="62" t="str">
        <x:v>2019 validation</x:v>
      </x:c>
      <x:c r="G63" s="62" t="str">
        <x:v>threshold_account_claim</x:v>
      </x:c>
      <x:c r="H63" s="69" t="str">
        <x:v>An account above a researcher-chosen Botometer threshold is fully automated</x:v>
      </x:c>
      <x:c r="I63" s="69" t="str">
        <x:v>Rauchfleisch and Kaiser found false positives and temporal score variation when applying Botometer thresholds; a threshold-crossing score alone does not verify full automation for an account.</x:v>
      </x:c>
      <x:c r="J63" s="69" t="str">
        <x:v>https://journals.plos.org/plosone/article?id=10.1371/journal.pone.0241045</x:v>
      </x:c>
      <x:c r="K63" s="69" t="str">
        <x:v>Discussion: threshold false positives and temporal variation</x:v>
      </x:c>
      <x:c r="L63" s="62" t="str">
        <x:v>b6a5c86134279f4f796770ec286b72a1164746559dc1be03a1967044bfb81479</x:v>
      </x:c>
      <x:c r="M63" s="69" t="str">
        <x:v>HTTP 200 HTML response body; raw bytes not redistributed</x:v>
      </x:c>
      <x:c r="N63" s="72" t="str"/>
      <x:c r="O63" s="72" t="str"/>
      <x:c r="P63" s="63" t="str"/>
      <x:c r="Q63" s="64" t="str"/>
    </x:row>
    <x:row r="64" ht="45" customHeight="1">
      <x:c r="A64" s="62" t="str">
        <x:v>botometer_score_only:recommendation</x:v>
      </x:c>
      <x:c r="B64" s="62" t="str">
        <x:v>botometer_score_only</x:v>
      </x:c>
      <x:c r="C64" s="62" t="str">
        <x:v>recommendation</x:v>
      </x:c>
      <x:c r="D64" s="62" t="str">
        <x:v>rauchfleisch_2020_botometer</x:v>
      </x:c>
      <x:c r="E64" s="62" t="str">
        <x:v>X</x:v>
      </x:c>
      <x:c r="F64" s="62" t="str">
        <x:v>2019 validation</x:v>
      </x:c>
      <x:c r="G64" s="62" t="str">
        <x:v>threshold_account_claim</x:v>
      </x:c>
      <x:c r="H64" s="69" t="str">
        <x:v>An account above a researcher-chosen Botometer threshold is fully automated</x:v>
      </x:c>
      <x:c r="I64" s="69" t="str">
        <x:v>Rauchfleisch and Kaiser found false positives and temporal score variation when applying Botometer thresholds; a threshold-crossing score alone does not verify full automation for an account.</x:v>
      </x:c>
      <x:c r="J64" s="69" t="str">
        <x:v>https://journals.plos.org/plosone/article?id=10.1371/journal.pone.0241045</x:v>
      </x:c>
      <x:c r="K64" s="69" t="str">
        <x:v>Discussion: threshold false positives and temporal variation</x:v>
      </x:c>
      <x:c r="L64" s="62" t="str">
        <x:v>b6a5c86134279f4f796770ec286b72a1164746559dc1be03a1967044bfb81479</x:v>
      </x:c>
      <x:c r="M64" s="69" t="str">
        <x:v>HTTP 200 HTML response body; raw bytes not redistributed</x:v>
      </x:c>
      <x:c r="N64" s="72" t="str"/>
      <x:c r="O64" s="72" t="str"/>
      <x:c r="P64" s="63" t="str"/>
      <x:c r="Q64" s="64" t="str"/>
    </x:row>
    <x:row r="65" ht="45" customHeight="1">
      <x:c r="A65" s="62" t="str">
        <x:v>botometer_score_only:impact</x:v>
      </x:c>
      <x:c r="B65" s="62" t="str">
        <x:v>botometer_score_only</x:v>
      </x:c>
      <x:c r="C65" s="62" t="str">
        <x:v>impact</x:v>
      </x:c>
      <x:c r="D65" s="62" t="str">
        <x:v>rauchfleisch_2020_botometer</x:v>
      </x:c>
      <x:c r="E65" s="62" t="str">
        <x:v>X</x:v>
      </x:c>
      <x:c r="F65" s="62" t="str">
        <x:v>2019 validation</x:v>
      </x:c>
      <x:c r="G65" s="62" t="str">
        <x:v>threshold_account_claim</x:v>
      </x:c>
      <x:c r="H65" s="69" t="str">
        <x:v>An account above a researcher-chosen Botometer threshold is fully automated</x:v>
      </x:c>
      <x:c r="I65" s="69" t="str">
        <x:v>Rauchfleisch and Kaiser found false positives and temporal score variation when applying Botometer thresholds; a threshold-crossing score alone does not verify full automation for an account.</x:v>
      </x:c>
      <x:c r="J65" s="69" t="str">
        <x:v>https://journals.plos.org/plosone/article?id=10.1371/journal.pone.0241045</x:v>
      </x:c>
      <x:c r="K65" s="69" t="str">
        <x:v>Discussion: threshold false positives and temporal variation</x:v>
      </x:c>
      <x:c r="L65" s="62" t="str">
        <x:v>b6a5c86134279f4f796770ec286b72a1164746559dc1be03a1967044bfb81479</x:v>
      </x:c>
      <x:c r="M65" s="69" t="str">
        <x:v>HTTP 200 HTML response body; raw bytes not redistributed</x:v>
      </x:c>
      <x:c r="N65" s="72" t="str"/>
      <x:c r="O65" s="72" t="str"/>
      <x:c r="P65" s="63" t="str"/>
      <x:c r="Q65" s="64" t="str"/>
    </x:row>
    <x:row r="66" ht="45" customHeight="1">
      <x:c r="A66" s="62" t="str">
        <x:v>botometer_reviewed_false_positive_group:origin</x:v>
      </x:c>
      <x:c r="B66" s="62" t="str">
        <x:v>botometer_reviewed_false_positive_group</x:v>
      </x:c>
      <x:c r="C66" s="62" t="str">
        <x:v>origin</x:v>
      </x:c>
      <x:c r="D66" s="62" t="str">
        <x:v>rauchfleisch_2020_botometer</x:v>
      </x:c>
      <x:c r="E66" s="62" t="str">
        <x:v>X</x:v>
      </x:c>
      <x:c r="F66" s="62" t="str">
        <x:v>2019 validation</x:v>
      </x:c>
      <x:c r="G66" s="62" t="str">
        <x:v>group_claim</x:v>
      </x:c>
      <x:c r="H66" s="69" t="str">
        <x:v>All 27 German politician accounts flagged by Botometer above 0.76 were fully automated</x:v>
      </x:c>
      <x:c r="I66" s="69" t="str">
        <x:v>The authors manually inspected the 27 flagged politician accounts and reported only one with possible cross-posting automation. This contradicts the universal claim for the group; it does not provide account-level labels for reuse.</x:v>
      </x:c>
      <x:c r="J66" s="69" t="str">
        <x:v>https://journals.plos.org/plosone/article?id=10.1371/journal.pone.0241045</x:v>
      </x:c>
      <x:c r="K66" s="69" t="str">
        <x:v>Discussion: manual check of all 27 flagged politician accounts</x:v>
      </x:c>
      <x:c r="L66" s="62" t="str">
        <x:v>b6a5c86134279f4f796770ec286b72a1164746559dc1be03a1967044bfb81479</x:v>
      </x:c>
      <x:c r="M66" s="69" t="str">
        <x:v>HTTP 200 HTML response body; raw bytes not redistributed</x:v>
      </x:c>
      <x:c r="N66" s="72" t="str"/>
      <x:c r="O66" s="72" t="str"/>
      <x:c r="P66" s="63" t="str"/>
      <x:c r="Q66" s="64" t="str"/>
    </x:row>
    <x:row r="67" ht="45" customHeight="1">
      <x:c r="A67" s="62" t="str">
        <x:v>botometer_reviewed_false_positive_group:operation_attribution</x:v>
      </x:c>
      <x:c r="B67" s="62" t="str">
        <x:v>botometer_reviewed_false_positive_group</x:v>
      </x:c>
      <x:c r="C67" s="62" t="str">
        <x:v>operation_attribution</x:v>
      </x:c>
      <x:c r="D67" s="62" t="str">
        <x:v>rauchfleisch_2020_botometer</x:v>
      </x:c>
      <x:c r="E67" s="62" t="str">
        <x:v>X</x:v>
      </x:c>
      <x:c r="F67" s="62" t="str">
        <x:v>2019 validation</x:v>
      </x:c>
      <x:c r="G67" s="62" t="str">
        <x:v>group_claim</x:v>
      </x:c>
      <x:c r="H67" s="69" t="str">
        <x:v>All 27 German politician accounts flagged by Botometer above 0.76 were fully automated</x:v>
      </x:c>
      <x:c r="I67" s="69" t="str">
        <x:v>The authors manually inspected the 27 flagged politician accounts and reported only one with possible cross-posting automation. This contradicts the universal claim for the group; it does not provide account-level labels for reuse.</x:v>
      </x:c>
      <x:c r="J67" s="69" t="str">
        <x:v>https://journals.plos.org/plosone/article?id=10.1371/journal.pone.0241045</x:v>
      </x:c>
      <x:c r="K67" s="69" t="str">
        <x:v>Discussion: manual check of all 27 flagged politician accounts</x:v>
      </x:c>
      <x:c r="L67" s="62" t="str">
        <x:v>b6a5c86134279f4f796770ec286b72a1164746559dc1be03a1967044bfb81479</x:v>
      </x:c>
      <x:c r="M67" s="69" t="str">
        <x:v>HTTP 200 HTML response body; raw bytes not redistributed</x:v>
      </x:c>
      <x:c r="N67" s="72" t="str"/>
      <x:c r="O67" s="72" t="str"/>
      <x:c r="P67" s="63" t="str"/>
      <x:c r="Q67" s="64" t="str"/>
    </x:row>
    <x:row r="68" ht="45" customHeight="1">
      <x:c r="A68" s="62" t="str">
        <x:v>botometer_reviewed_false_positive_group:automation</x:v>
      </x:c>
      <x:c r="B68" s="62" t="str">
        <x:v>botometer_reviewed_false_positive_group</x:v>
      </x:c>
      <x:c r="C68" s="62" t="str">
        <x:v>automation</x:v>
      </x:c>
      <x:c r="D68" s="62" t="str">
        <x:v>rauchfleisch_2020_botometer</x:v>
      </x:c>
      <x:c r="E68" s="62" t="str">
        <x:v>X</x:v>
      </x:c>
      <x:c r="F68" s="62" t="str">
        <x:v>2019 validation</x:v>
      </x:c>
      <x:c r="G68" s="62" t="str">
        <x:v>group_claim</x:v>
      </x:c>
      <x:c r="H68" s="69" t="str">
        <x:v>All 27 German politician accounts flagged by Botometer above 0.76 were fully automated</x:v>
      </x:c>
      <x:c r="I68" s="69" t="str">
        <x:v>The authors manually inspected the 27 flagged politician accounts and reported only one with possible cross-posting automation. This contradicts the universal claim for the group; it does not provide account-level labels for reuse.</x:v>
      </x:c>
      <x:c r="J68" s="69" t="str">
        <x:v>https://journals.plos.org/plosone/article?id=10.1371/journal.pone.0241045</x:v>
      </x:c>
      <x:c r="K68" s="69" t="str">
        <x:v>Discussion: manual check of all 27 flagged politician accounts</x:v>
      </x:c>
      <x:c r="L68" s="62" t="str">
        <x:v>b6a5c86134279f4f796770ec286b72a1164746559dc1be03a1967044bfb81479</x:v>
      </x:c>
      <x:c r="M68" s="69" t="str">
        <x:v>HTTP 200 HTML response body; raw bytes not redistributed</x:v>
      </x:c>
      <x:c r="N68" s="72" t="str"/>
      <x:c r="O68" s="72" t="str"/>
      <x:c r="P68" s="63" t="str"/>
      <x:c r="Q68" s="64" t="str"/>
    </x:row>
    <x:row r="69" ht="45" customHeight="1">
      <x:c r="A69" s="62" t="str">
        <x:v>botometer_reviewed_false_positive_group:coordination</x:v>
      </x:c>
      <x:c r="B69" s="62" t="str">
        <x:v>botometer_reviewed_false_positive_group</x:v>
      </x:c>
      <x:c r="C69" s="62" t="str">
        <x:v>coordination</x:v>
      </x:c>
      <x:c r="D69" s="62" t="str">
        <x:v>rauchfleisch_2020_botometer</x:v>
      </x:c>
      <x:c r="E69" s="62" t="str">
        <x:v>X</x:v>
      </x:c>
      <x:c r="F69" s="62" t="str">
        <x:v>2019 validation</x:v>
      </x:c>
      <x:c r="G69" s="62" t="str">
        <x:v>group_claim</x:v>
      </x:c>
      <x:c r="H69" s="69" t="str">
        <x:v>All 27 German politician accounts flagged by Botometer above 0.76 were fully automated</x:v>
      </x:c>
      <x:c r="I69" s="69" t="str">
        <x:v>The authors manually inspected the 27 flagged politician accounts and reported only one with possible cross-posting automation. This contradicts the universal claim for the group; it does not provide account-level labels for reuse.</x:v>
      </x:c>
      <x:c r="J69" s="69" t="str">
        <x:v>https://journals.plos.org/plosone/article?id=10.1371/journal.pone.0241045</x:v>
      </x:c>
      <x:c r="K69" s="69" t="str">
        <x:v>Discussion: manual check of all 27 flagged politician accounts</x:v>
      </x:c>
      <x:c r="L69" s="62" t="str">
        <x:v>b6a5c86134279f4f796770ec286b72a1164746559dc1be03a1967044bfb81479</x:v>
      </x:c>
      <x:c r="M69" s="69" t="str">
        <x:v>HTTP 200 HTML response body; raw bytes not redistributed</x:v>
      </x:c>
      <x:c r="N69" s="72" t="str"/>
      <x:c r="O69" s="72" t="str"/>
      <x:c r="P69" s="63" t="str"/>
      <x:c r="Q69" s="64" t="str"/>
    </x:row>
    <x:row r="70" ht="45" customHeight="1">
      <x:c r="A70" s="62" t="str">
        <x:v>botometer_reviewed_false_positive_group:deception</x:v>
      </x:c>
      <x:c r="B70" s="62" t="str">
        <x:v>botometer_reviewed_false_positive_group</x:v>
      </x:c>
      <x:c r="C70" s="62" t="str">
        <x:v>deception</x:v>
      </x:c>
      <x:c r="D70" s="62" t="str">
        <x:v>rauchfleisch_2020_botometer</x:v>
      </x:c>
      <x:c r="E70" s="62" t="str">
        <x:v>X</x:v>
      </x:c>
      <x:c r="F70" s="62" t="str">
        <x:v>2019 validation</x:v>
      </x:c>
      <x:c r="G70" s="62" t="str">
        <x:v>group_claim</x:v>
      </x:c>
      <x:c r="H70" s="69" t="str">
        <x:v>All 27 German politician accounts flagged by Botometer above 0.76 were fully automated</x:v>
      </x:c>
      <x:c r="I70" s="69" t="str">
        <x:v>The authors manually inspected the 27 flagged politician accounts and reported only one with possible cross-posting automation. This contradicts the universal claim for the group; it does not provide account-level labels for reuse.</x:v>
      </x:c>
      <x:c r="J70" s="69" t="str">
        <x:v>https://journals.plos.org/plosone/article?id=10.1371/journal.pone.0241045</x:v>
      </x:c>
      <x:c r="K70" s="69" t="str">
        <x:v>Discussion: manual check of all 27 flagged politician accounts</x:v>
      </x:c>
      <x:c r="L70" s="62" t="str">
        <x:v>b6a5c86134279f4f796770ec286b72a1164746559dc1be03a1967044bfb81479</x:v>
      </x:c>
      <x:c r="M70" s="69" t="str">
        <x:v>HTTP 200 HTML response body; raw bytes not redistributed</x:v>
      </x:c>
      <x:c r="N70" s="72" t="str"/>
      <x:c r="O70" s="72" t="str"/>
      <x:c r="P70" s="63" t="str"/>
      <x:c r="Q70" s="64" t="str"/>
    </x:row>
    <x:row r="71" ht="45" customHeight="1">
      <x:c r="A71" s="62" t="str">
        <x:v>botometer_reviewed_false_positive_group:exposure</x:v>
      </x:c>
      <x:c r="B71" s="62" t="str">
        <x:v>botometer_reviewed_false_positive_group</x:v>
      </x:c>
      <x:c r="C71" s="62" t="str">
        <x:v>exposure</x:v>
      </x:c>
      <x:c r="D71" s="62" t="str">
        <x:v>rauchfleisch_2020_botometer</x:v>
      </x:c>
      <x:c r="E71" s="62" t="str">
        <x:v>X</x:v>
      </x:c>
      <x:c r="F71" s="62" t="str">
        <x:v>2019 validation</x:v>
      </x:c>
      <x:c r="G71" s="62" t="str">
        <x:v>group_claim</x:v>
      </x:c>
      <x:c r="H71" s="69" t="str">
        <x:v>All 27 German politician accounts flagged by Botometer above 0.76 were fully automated</x:v>
      </x:c>
      <x:c r="I71" s="69" t="str">
        <x:v>The authors manually inspected the 27 flagged politician accounts and reported only one with possible cross-posting automation. This contradicts the universal claim for the group; it does not provide account-level labels for reuse.</x:v>
      </x:c>
      <x:c r="J71" s="69" t="str">
        <x:v>https://journals.plos.org/plosone/article?id=10.1371/journal.pone.0241045</x:v>
      </x:c>
      <x:c r="K71" s="69" t="str">
        <x:v>Discussion: manual check of all 27 flagged politician accounts</x:v>
      </x:c>
      <x:c r="L71" s="62" t="str">
        <x:v>b6a5c86134279f4f796770ec286b72a1164746559dc1be03a1967044bfb81479</x:v>
      </x:c>
      <x:c r="M71" s="69" t="str">
        <x:v>HTTP 200 HTML response body; raw bytes not redistributed</x:v>
      </x:c>
      <x:c r="N71" s="72" t="str"/>
      <x:c r="O71" s="72" t="str"/>
      <x:c r="P71" s="63" t="str"/>
      <x:c r="Q71" s="64" t="str"/>
    </x:row>
    <x:row r="72" ht="45" customHeight="1">
      <x:c r="A72" s="62" t="str">
        <x:v>botometer_reviewed_false_positive_group:recommendation</x:v>
      </x:c>
      <x:c r="B72" s="62" t="str">
        <x:v>botometer_reviewed_false_positive_group</x:v>
      </x:c>
      <x:c r="C72" s="62" t="str">
        <x:v>recommendation</x:v>
      </x:c>
      <x:c r="D72" s="62" t="str">
        <x:v>rauchfleisch_2020_botometer</x:v>
      </x:c>
      <x:c r="E72" s="62" t="str">
        <x:v>X</x:v>
      </x:c>
      <x:c r="F72" s="62" t="str">
        <x:v>2019 validation</x:v>
      </x:c>
      <x:c r="G72" s="62" t="str">
        <x:v>group_claim</x:v>
      </x:c>
      <x:c r="H72" s="69" t="str">
        <x:v>All 27 German politician accounts flagged by Botometer above 0.76 were fully automated</x:v>
      </x:c>
      <x:c r="I72" s="69" t="str">
        <x:v>The authors manually inspected the 27 flagged politician accounts and reported only one with possible cross-posting automation. This contradicts the universal claim for the group; it does not provide account-level labels for reuse.</x:v>
      </x:c>
      <x:c r="J72" s="69" t="str">
        <x:v>https://journals.plos.org/plosone/article?id=10.1371/journal.pone.0241045</x:v>
      </x:c>
      <x:c r="K72" s="69" t="str">
        <x:v>Discussion: manual check of all 27 flagged politician accounts</x:v>
      </x:c>
      <x:c r="L72" s="62" t="str">
        <x:v>b6a5c86134279f4f796770ec286b72a1164746559dc1be03a1967044bfb81479</x:v>
      </x:c>
      <x:c r="M72" s="69" t="str">
        <x:v>HTTP 200 HTML response body; raw bytes not redistributed</x:v>
      </x:c>
      <x:c r="N72" s="72" t="str"/>
      <x:c r="O72" s="72" t="str"/>
      <x:c r="P72" s="63" t="str"/>
      <x:c r="Q72" s="64" t="str"/>
    </x:row>
    <x:row r="73" ht="45" customHeight="1">
      <x:c r="A73" s="62" t="str">
        <x:v>botometer_reviewed_false_positive_group:impact</x:v>
      </x:c>
      <x:c r="B73" s="62" t="str">
        <x:v>botometer_reviewed_false_positive_group</x:v>
      </x:c>
      <x:c r="C73" s="62" t="str">
        <x:v>impact</x:v>
      </x:c>
      <x:c r="D73" s="62" t="str">
        <x:v>rauchfleisch_2020_botometer</x:v>
      </x:c>
      <x:c r="E73" s="62" t="str">
        <x:v>X</x:v>
      </x:c>
      <x:c r="F73" s="62" t="str">
        <x:v>2019 validation</x:v>
      </x:c>
      <x:c r="G73" s="62" t="str">
        <x:v>group_claim</x:v>
      </x:c>
      <x:c r="H73" s="69" t="str">
        <x:v>All 27 German politician accounts flagged by Botometer above 0.76 were fully automated</x:v>
      </x:c>
      <x:c r="I73" s="69" t="str">
        <x:v>The authors manually inspected the 27 flagged politician accounts and reported only one with possible cross-posting automation. This contradicts the universal claim for the group; it does not provide account-level labels for reuse.</x:v>
      </x:c>
      <x:c r="J73" s="69" t="str">
        <x:v>https://journals.plos.org/plosone/article?id=10.1371/journal.pone.0241045</x:v>
      </x:c>
      <x:c r="K73" s="69" t="str">
        <x:v>Discussion: manual check of all 27 flagged politician accounts</x:v>
      </x:c>
      <x:c r="L73" s="62" t="str">
        <x:v>b6a5c86134279f4f796770ec286b72a1164746559dc1be03a1967044bfb81479</x:v>
      </x:c>
      <x:c r="M73" s="69" t="str">
        <x:v>HTTP 200 HTML response body; raw bytes not redistributed</x:v>
      </x:c>
      <x:c r="N73" s="72" t="str"/>
      <x:c r="O73" s="72" t="str"/>
      <x:c r="P73" s="63" t="str"/>
      <x:c r="Q73" s="64" t="str"/>
    </x:row>
    <x:row r="74" ht="45" customHeight="1">
      <x:c r="A74" s="62" t="str">
        <x:v>youtube_engagement_not_recommendation:origin</x:v>
      </x:c>
      <x:c r="B74" s="62" t="str">
        <x:v>youtube_engagement_not_recommendation</x:v>
      </x:c>
      <x:c r="C74" s="62" t="str">
        <x:v>origin</x:v>
      </x:c>
      <x:c r="D74" s="62" t="str">
        <x:v>hassan_2026_youtube_geopolitical_narratives</x:v>
      </x:c>
      <x:c r="E74" s="62" t="str">
        <x:v>YouTube</x:v>
      </x:c>
      <x:c r="F74" s="62" t="str">
        <x:v>2024 election</x:v>
      </x:c>
      <x:c r="G74" s="62" t="str">
        <x:v>aggregate_claim</x:v>
      </x:c>
      <x:c r="H74" s="69" t="str">
        <x:v>Geopolitical campaign videos received a measured YouTube recommendation increment</x:v>
      </x:c>
      <x:c r="I74" s="69" t="str">
        <x:v>The study compared engagement on YouTube videos from official US presidential campaign channels. Its authors state that their data capture engagement rather than recommender behavior and that further algorithmic distribution is theoretical, not directly measured.</x:v>
      </x:c>
      <x:c r="J74" s="69" t="str">
        <x:v>https://www.frontiersin.org/journals/political-science/articles/10.3389/fpos.2026.1901653/full</x:v>
      </x:c>
      <x:c r="K74" s="69" t="str">
        <x:v>Abstract; theoretical model paragraphs on engagement as the dependent variable and unmeasured recommendation distribution</x:v>
      </x:c>
      <x:c r="L74" s="62" t="str">
        <x:v>003d129b5fff876b591555ea5b77bb8f10c09690896220f580c036244e99877c</x:v>
      </x:c>
      <x:c r="M74" s="69" t="str">
        <x:v>HTTP 200 HTML response body; raw bytes not redistributed</x:v>
      </x:c>
      <x:c r="N74" s="72" t="str"/>
      <x:c r="O74" s="72" t="str"/>
      <x:c r="P74" s="63" t="str"/>
      <x:c r="Q74" s="64" t="str"/>
    </x:row>
    <x:row r="75" ht="45" customHeight="1">
      <x:c r="A75" s="62" t="str">
        <x:v>youtube_engagement_not_recommendation:operation_attribution</x:v>
      </x:c>
      <x:c r="B75" s="62" t="str">
        <x:v>youtube_engagement_not_recommendation</x:v>
      </x:c>
      <x:c r="C75" s="62" t="str">
        <x:v>operation_attribution</x:v>
      </x:c>
      <x:c r="D75" s="62" t="str">
        <x:v>hassan_2026_youtube_geopolitical_narratives</x:v>
      </x:c>
      <x:c r="E75" s="62" t="str">
        <x:v>YouTube</x:v>
      </x:c>
      <x:c r="F75" s="62" t="str">
        <x:v>2024 election</x:v>
      </x:c>
      <x:c r="G75" s="62" t="str">
        <x:v>aggregate_claim</x:v>
      </x:c>
      <x:c r="H75" s="69" t="str">
        <x:v>Geopolitical campaign videos received a measured YouTube recommendation increment</x:v>
      </x:c>
      <x:c r="I75" s="69" t="str">
        <x:v>The study compared engagement on YouTube videos from official US presidential campaign channels. Its authors state that their data capture engagement rather than recommender behavior and that further algorithmic distribution is theoretical, not directly measured.</x:v>
      </x:c>
      <x:c r="J75" s="69" t="str">
        <x:v>https://www.frontiersin.org/journals/political-science/articles/10.3389/fpos.2026.1901653/full</x:v>
      </x:c>
      <x:c r="K75" s="69" t="str">
        <x:v>Abstract; theoretical model paragraphs on engagement as the dependent variable and unmeasured recommendation distribution</x:v>
      </x:c>
      <x:c r="L75" s="62" t="str">
        <x:v>003d129b5fff876b591555ea5b77bb8f10c09690896220f580c036244e99877c</x:v>
      </x:c>
      <x:c r="M75" s="69" t="str">
        <x:v>HTTP 200 HTML response body; raw bytes not redistributed</x:v>
      </x:c>
      <x:c r="N75" s="72" t="str"/>
      <x:c r="O75" s="72" t="str"/>
      <x:c r="P75" s="63" t="str"/>
      <x:c r="Q75" s="64" t="str"/>
    </x:row>
    <x:row r="76" ht="45" customHeight="1">
      <x:c r="A76" s="62" t="str">
        <x:v>youtube_engagement_not_recommendation:automation</x:v>
      </x:c>
      <x:c r="B76" s="62" t="str">
        <x:v>youtube_engagement_not_recommendation</x:v>
      </x:c>
      <x:c r="C76" s="62" t="str">
        <x:v>automation</x:v>
      </x:c>
      <x:c r="D76" s="62" t="str">
        <x:v>hassan_2026_youtube_geopolitical_narratives</x:v>
      </x:c>
      <x:c r="E76" s="62" t="str">
        <x:v>YouTube</x:v>
      </x:c>
      <x:c r="F76" s="62" t="str">
        <x:v>2024 election</x:v>
      </x:c>
      <x:c r="G76" s="62" t="str">
        <x:v>aggregate_claim</x:v>
      </x:c>
      <x:c r="H76" s="69" t="str">
        <x:v>Geopolitical campaign videos received a measured YouTube recommendation increment</x:v>
      </x:c>
      <x:c r="I76" s="69" t="str">
        <x:v>The study compared engagement on YouTube videos from official US presidential campaign channels. Its authors state that their data capture engagement rather than recommender behavior and that further algorithmic distribution is theoretical, not directly measured.</x:v>
      </x:c>
      <x:c r="J76" s="69" t="str">
        <x:v>https://www.frontiersin.org/journals/political-science/articles/10.3389/fpos.2026.1901653/full</x:v>
      </x:c>
      <x:c r="K76" s="69" t="str">
        <x:v>Abstract; theoretical model paragraphs on engagement as the dependent variable and unmeasured recommendation distribution</x:v>
      </x:c>
      <x:c r="L76" s="62" t="str">
        <x:v>003d129b5fff876b591555ea5b77bb8f10c09690896220f580c036244e99877c</x:v>
      </x:c>
      <x:c r="M76" s="69" t="str">
        <x:v>HTTP 200 HTML response body; raw bytes not redistributed</x:v>
      </x:c>
      <x:c r="N76" s="72" t="str"/>
      <x:c r="O76" s="72" t="str"/>
      <x:c r="P76" s="63" t="str"/>
      <x:c r="Q76" s="64" t="str"/>
    </x:row>
    <x:row r="77" ht="45" customHeight="1">
      <x:c r="A77" s="62" t="str">
        <x:v>youtube_engagement_not_recommendation:coordination</x:v>
      </x:c>
      <x:c r="B77" s="62" t="str">
        <x:v>youtube_engagement_not_recommendation</x:v>
      </x:c>
      <x:c r="C77" s="62" t="str">
        <x:v>coordination</x:v>
      </x:c>
      <x:c r="D77" s="62" t="str">
        <x:v>hassan_2026_youtube_geopolitical_narratives</x:v>
      </x:c>
      <x:c r="E77" s="62" t="str">
        <x:v>YouTube</x:v>
      </x:c>
      <x:c r="F77" s="62" t="str">
        <x:v>2024 election</x:v>
      </x:c>
      <x:c r="G77" s="62" t="str">
        <x:v>aggregate_claim</x:v>
      </x:c>
      <x:c r="H77" s="69" t="str">
        <x:v>Geopolitical campaign videos received a measured YouTube recommendation increment</x:v>
      </x:c>
      <x:c r="I77" s="69" t="str">
        <x:v>The study compared engagement on YouTube videos from official US presidential campaign channels. Its authors state that their data capture engagement rather than recommender behavior and that further algorithmic distribution is theoretical, not directly measured.</x:v>
      </x:c>
      <x:c r="J77" s="69" t="str">
        <x:v>https://www.frontiersin.org/journals/political-science/articles/10.3389/fpos.2026.1901653/full</x:v>
      </x:c>
      <x:c r="K77" s="69" t="str">
        <x:v>Abstract; theoretical model paragraphs on engagement as the dependent variable and unmeasured recommendation distribution</x:v>
      </x:c>
      <x:c r="L77" s="62" t="str">
        <x:v>003d129b5fff876b591555ea5b77bb8f10c09690896220f580c036244e99877c</x:v>
      </x:c>
      <x:c r="M77" s="69" t="str">
        <x:v>HTTP 200 HTML response body; raw bytes not redistributed</x:v>
      </x:c>
      <x:c r="N77" s="72" t="str"/>
      <x:c r="O77" s="72" t="str"/>
      <x:c r="P77" s="63" t="str"/>
      <x:c r="Q77" s="64" t="str"/>
    </x:row>
    <x:row r="78" ht="45" customHeight="1">
      <x:c r="A78" s="62" t="str">
        <x:v>youtube_engagement_not_recommendation:deception</x:v>
      </x:c>
      <x:c r="B78" s="62" t="str">
        <x:v>youtube_engagement_not_recommendation</x:v>
      </x:c>
      <x:c r="C78" s="62" t="str">
        <x:v>deception</x:v>
      </x:c>
      <x:c r="D78" s="62" t="str">
        <x:v>hassan_2026_youtube_geopolitical_narratives</x:v>
      </x:c>
      <x:c r="E78" s="62" t="str">
        <x:v>YouTube</x:v>
      </x:c>
      <x:c r="F78" s="62" t="str">
        <x:v>2024 election</x:v>
      </x:c>
      <x:c r="G78" s="62" t="str">
        <x:v>aggregate_claim</x:v>
      </x:c>
      <x:c r="H78" s="69" t="str">
        <x:v>Geopolitical campaign videos received a measured YouTube recommendation increment</x:v>
      </x:c>
      <x:c r="I78" s="69" t="str">
        <x:v>The study compared engagement on YouTube videos from official US presidential campaign channels. Its authors state that their data capture engagement rather than recommender behavior and that further algorithmic distribution is theoretical, not directly measured.</x:v>
      </x:c>
      <x:c r="J78" s="69" t="str">
        <x:v>https://www.frontiersin.org/journals/political-science/articles/10.3389/fpos.2026.1901653/full</x:v>
      </x:c>
      <x:c r="K78" s="69" t="str">
        <x:v>Abstract; theoretical model paragraphs on engagement as the dependent variable and unmeasured recommendation distribution</x:v>
      </x:c>
      <x:c r="L78" s="62" t="str">
        <x:v>003d129b5fff876b591555ea5b77bb8f10c09690896220f580c036244e99877c</x:v>
      </x:c>
      <x:c r="M78" s="69" t="str">
        <x:v>HTTP 200 HTML response body; raw bytes not redistributed</x:v>
      </x:c>
      <x:c r="N78" s="72" t="str"/>
      <x:c r="O78" s="72" t="str"/>
      <x:c r="P78" s="63" t="str"/>
      <x:c r="Q78" s="64" t="str"/>
    </x:row>
    <x:row r="79" ht="45" customHeight="1">
      <x:c r="A79" s="62" t="str">
        <x:v>youtube_engagement_not_recommendation:exposure</x:v>
      </x:c>
      <x:c r="B79" s="62" t="str">
        <x:v>youtube_engagement_not_recommendation</x:v>
      </x:c>
      <x:c r="C79" s="62" t="str">
        <x:v>exposure</x:v>
      </x:c>
      <x:c r="D79" s="62" t="str">
        <x:v>hassan_2026_youtube_geopolitical_narratives</x:v>
      </x:c>
      <x:c r="E79" s="62" t="str">
        <x:v>YouTube</x:v>
      </x:c>
      <x:c r="F79" s="62" t="str">
        <x:v>2024 election</x:v>
      </x:c>
      <x:c r="G79" s="62" t="str">
        <x:v>aggregate_claim</x:v>
      </x:c>
      <x:c r="H79" s="69" t="str">
        <x:v>Geopolitical campaign videos received a measured YouTube recommendation increment</x:v>
      </x:c>
      <x:c r="I79" s="69" t="str">
        <x:v>The study compared engagement on YouTube videos from official US presidential campaign channels. Its authors state that their data capture engagement rather than recommender behavior and that further algorithmic distribution is theoretical, not directly measured.</x:v>
      </x:c>
      <x:c r="J79" s="69" t="str">
        <x:v>https://www.frontiersin.org/journals/political-science/articles/10.3389/fpos.2026.1901653/full</x:v>
      </x:c>
      <x:c r="K79" s="69" t="str">
        <x:v>Abstract; theoretical model paragraphs on engagement as the dependent variable and unmeasured recommendation distribution</x:v>
      </x:c>
      <x:c r="L79" s="62" t="str">
        <x:v>003d129b5fff876b591555ea5b77bb8f10c09690896220f580c036244e99877c</x:v>
      </x:c>
      <x:c r="M79" s="69" t="str">
        <x:v>HTTP 200 HTML response body; raw bytes not redistributed</x:v>
      </x:c>
      <x:c r="N79" s="72" t="str"/>
      <x:c r="O79" s="72" t="str"/>
      <x:c r="P79" s="63" t="str"/>
      <x:c r="Q79" s="64" t="str"/>
    </x:row>
    <x:row r="80" ht="45" customHeight="1">
      <x:c r="A80" s="62" t="str">
        <x:v>youtube_engagement_not_recommendation:recommendation</x:v>
      </x:c>
      <x:c r="B80" s="62" t="str">
        <x:v>youtube_engagement_not_recommendation</x:v>
      </x:c>
      <x:c r="C80" s="62" t="str">
        <x:v>recommendation</x:v>
      </x:c>
      <x:c r="D80" s="62" t="str">
        <x:v>hassan_2026_youtube_geopolitical_narratives</x:v>
      </x:c>
      <x:c r="E80" s="62" t="str">
        <x:v>YouTube</x:v>
      </x:c>
      <x:c r="F80" s="62" t="str">
        <x:v>2024 election</x:v>
      </x:c>
      <x:c r="G80" s="62" t="str">
        <x:v>aggregate_claim</x:v>
      </x:c>
      <x:c r="H80" s="69" t="str">
        <x:v>Geopolitical campaign videos received a measured YouTube recommendation increment</x:v>
      </x:c>
      <x:c r="I80" s="69" t="str">
        <x:v>The study compared engagement on YouTube videos from official US presidential campaign channels. Its authors state that their data capture engagement rather than recommender behavior and that further algorithmic distribution is theoretical, not directly measured.</x:v>
      </x:c>
      <x:c r="J80" s="69" t="str">
        <x:v>https://www.frontiersin.org/journals/political-science/articles/10.3389/fpos.2026.1901653/full</x:v>
      </x:c>
      <x:c r="K80" s="69" t="str">
        <x:v>Abstract; theoretical model paragraphs on engagement as the dependent variable and unmeasured recommendation distribution</x:v>
      </x:c>
      <x:c r="L80" s="62" t="str">
        <x:v>003d129b5fff876b591555ea5b77bb8f10c09690896220f580c036244e99877c</x:v>
      </x:c>
      <x:c r="M80" s="69" t="str">
        <x:v>HTTP 200 HTML response body; raw bytes not redistributed</x:v>
      </x:c>
      <x:c r="N80" s="72" t="str"/>
      <x:c r="O80" s="72" t="str"/>
      <x:c r="P80" s="63" t="str"/>
      <x:c r="Q80" s="64" t="str"/>
    </x:row>
    <x:row r="81" ht="45" customHeight="1">
      <x:c r="A81" s="65" t="str">
        <x:v>youtube_engagement_not_recommendation:impact</x:v>
      </x:c>
      <x:c r="B81" s="65" t="str">
        <x:v>youtube_engagement_not_recommendation</x:v>
      </x:c>
      <x:c r="C81" s="65" t="str">
        <x:v>impact</x:v>
      </x:c>
      <x:c r="D81" s="65" t="str">
        <x:v>hassan_2026_youtube_geopolitical_narratives</x:v>
      </x:c>
      <x:c r="E81" s="65" t="str">
        <x:v>YouTube</x:v>
      </x:c>
      <x:c r="F81" s="65" t="str">
        <x:v>2024 election</x:v>
      </x:c>
      <x:c r="G81" s="65" t="str">
        <x:v>aggregate_claim</x:v>
      </x:c>
      <x:c r="H81" s="70" t="str">
        <x:v>Geopolitical campaign videos received a measured YouTube recommendation increment</x:v>
      </x:c>
      <x:c r="I81" s="70" t="str">
        <x:v>The study compared engagement on YouTube videos from official US presidential campaign channels. Its authors state that their data capture engagement rather than recommender behavior and that further algorithmic distribution is theoretical, not directly measured.</x:v>
      </x:c>
      <x:c r="J81" s="70" t="str">
        <x:v>https://www.frontiersin.org/journals/political-science/articles/10.3389/fpos.2026.1901653/full</x:v>
      </x:c>
      <x:c r="K81" s="70" t="str">
        <x:v>Abstract; theoretical model paragraphs on engagement as the dependent variable and unmeasured recommendation distribution</x:v>
      </x:c>
      <x:c r="L81" s="65" t="str">
        <x:v>003d129b5fff876b591555ea5b77bb8f10c09690896220f580c036244e99877c</x:v>
      </x:c>
      <x:c r="M81" s="70" t="str">
        <x:v>HTTP 200 HTML response body; raw bytes not redistributed</x:v>
      </x:c>
      <x:c r="N81" s="73" t="str"/>
      <x:c r="O81" s="73" t="str"/>
      <x:c r="P81" s="66" t="str"/>
      <x:c r="Q81" s="67" t="str"/>
    </x:row>
  </x:sheetData>
  <x:conditionalFormatting sqref="N2:N81">
    <x:cfRule type="containsBlanks" dxfId="1" priority="1"/>
  </x:conditionalFormatting>
  <x:conditionalFormatting sqref="O2:O81">
    <x:cfRule type="containsBlanks" dxfId="2" priority="2"/>
  </x:conditionalFormatting>
  <x:conditionalFormatting sqref="P2:P81">
    <x:cfRule type="containsBlanks" dxfId="3" priority="3"/>
  </x:conditionalFormatting>
  <x:conditionalFormatting sqref="Q2:Q81">
    <x:cfRule type="containsBlanks" dxfId="4" priority="4"/>
  </x:conditionalFormatting>
  <x:dataValidations count="2">
    <x:dataValidation type="list" sqref="N2:N81">
      <x:formula1>"supported,contradicted,unknown"</x:formula1>
    </x:dataValidation>
    <x:dataValidation type="list" sqref="P2:P81">
      <x:formula1>"yes"</x:formula1>
    </x:dataValidation>
  </x:dataValidations>
  <x:pageMargins left="0.7" right="0.7" top="0.75" bottom="0.75" header="0.3" footer="0.3"/>
  <x:tableParts count="1">
    <x:tablePart xmlns:r="http://schemas.openxmlformats.org/officeDocument/2006/relationships" r:id="R3a953ef935b14e3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05" hidden="0" customWidth="1"/>
  </x:cols>
  <x:sheetData>
    <x:row r="1">
      <x:c r="A1" s="1"/>
      <x:c r="B1" s="1"/>
    </x:row>
    <x:row r="2">
      <x:c r="A2" s="2" t="str">
        <x:v>Adjudication instructions</x:v>
      </x:c>
      <x:c r="B2" s="1"/>
    </x:row>
    <x:row r="3">
      <x:c r="A3" s="3"/>
      <x:c r="B3" s="3"/>
      <x:c r="C3" s="74"/>
      <x:c r="D3" s="74"/>
      <x:c r="E3" s="74"/>
      <x:c r="F3" s="74"/>
      <x:c r="G3" s="74"/>
      <x:c r="H3" s="74"/>
    </x:row>
    <x:row r="4">
      <x:c r="A4" s="1"/>
      <x:c r="B4" s="1"/>
    </x:row>
    <x:row r="5" ht="42" customHeight="1">
      <x:c r="A5" s="81" t="str">
        <x:v>Step</x:v>
      </x:c>
      <x:c r="B5" s="81" t="str">
        <x:v>Action</x:v>
      </x:c>
    </x:row>
    <x:row r="6" ht="42" customHeight="1">
      <x:c r="A6" s="82" t="n">
        <x:v>1</x:v>
      </x:c>
      <x:c r="B6" s="69" t="str">
        <x:v>Read the exact claim subject, evidence summary, source, and locator for each row. Open the source and verify the locator.</x:v>
      </x:c>
    </x:row>
    <x:row r="7" ht="42" customHeight="1">
      <x:c r="A7" s="82" t="n">
        <x:v>2</x:v>
      </x:c>
      <x:c r="B7" s="69" t="str">
        <x:v>Choose supported, contradicted, or unknown for that one claim dimension. Do not infer one claim from another.</x:v>
      </x:c>
    </x:row>
    <x:row r="8" ht="42" customHeight="1">
      <x:c r="A8" s="82" t="n">
        <x:v>3</x:v>
      </x:c>
      <x:c r="B8" s="69" t="str">
        <x:v>Write a specific rationale, set source_checked to yes, and record the UTC decision time.</x:v>
      </x:c>
    </x:row>
    <x:row r="9" ht="42" customHeight="1">
      <x:c r="A9" s="82" t="n">
        <x:v>4</x:v>
      </x:c>
      <x:c r="B9" s="69" t="str">
        <x:v>Complete the reviewer fields on Summary. Enter confirmed only if you did not consult the provisional labels or another reviewer’s decisions.</x:v>
      </x:c>
    </x:row>
    <x:row r="10" ht="42" customHeight="1">
      <x:c r="A10" s="82" t="n">
        <x:v>5</x:v>
      </x:c>
      <x:c r="B10" s="69" t="str">
        <x:v>Return the completed workbook without changing row order or source columns.</x:v>
      </x:c>
    </x:row>
    <x:row r="11" ht="62" customHeight="1">
      <x:c r="A11" s="65" t="str"/>
      <x:c r="B11" s="70" t="str">
        <x:v>Unknown is a substantive result. A country display does not prove origin; a bot score does not prove automation; coordination does not prove deception; potential exposure does not prove delivery; engagement does not prove recommendation increment.</x:v>
      </x:c>
    </x:row>
  </x:sheetData>
  <x:mergeCells>
    <x:mergeCell ref="A2:H2"/>
  </x:mergeCells>
  <x:pageMargins left="0.7" right="0.7" top="0.75" bottom="0.75" header="0.3" footer="0.3"/>
</x:worksheet>
</file>